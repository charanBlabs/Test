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blished Tools" sheetId="1" r:id="rId5"/>
    <sheet state="visible" name="Drafts Tools" sheetId="2" r:id="rId6"/>
    <sheet state="visible" name="Pending Approval Tools" sheetId="3" r:id="rId7"/>
    <sheet state="visible" name="Solutions" sheetId="4" r:id="rId8"/>
    <sheet state="visible" name="To Be Deleted Tools" sheetId="5" r:id="rId9"/>
    <sheet state="visible" name="Tools" sheetId="6" r:id="rId10"/>
  </sheets>
  <definedNames>
    <definedName hidden="1" localSheetId="0" name="_xlnm._FilterDatabase">'Published Tools'!$E$1:$E$51</definedName>
    <definedName hidden="1" localSheetId="1" name="_xlnm._FilterDatabase">'Drafts Tools'!$A$1:$O$25</definedName>
  </definedNames>
  <calcPr/>
</workbook>
</file>

<file path=xl/sharedStrings.xml><?xml version="1.0" encoding="utf-8"?>
<sst xmlns="http://schemas.openxmlformats.org/spreadsheetml/2006/main" count="1953" uniqueCount="316">
  <si>
    <t>Tool URL</t>
  </si>
  <si>
    <t>Title</t>
  </si>
  <si>
    <t>Short Title</t>
  </si>
  <si>
    <t>Short Title For Search Results</t>
  </si>
  <si>
    <t>Hub</t>
  </si>
  <si>
    <t>Status</t>
  </si>
  <si>
    <t>Price/Monthly Price</t>
  </si>
  <si>
    <t>Annual Price</t>
  </si>
  <si>
    <t>Commitment Price</t>
  </si>
  <si>
    <t>Subscription Type</t>
  </si>
  <si>
    <t>Starts From Type</t>
  </si>
  <si>
    <t>Tools Category</t>
  </si>
  <si>
    <t>Price Unit</t>
  </si>
  <si>
    <t>Tool Type</t>
  </si>
  <si>
    <t>Implementation Type</t>
  </si>
  <si>
    <t>Delivery Time Description</t>
  </si>
  <si>
    <t>View Tool</t>
  </si>
  <si>
    <t>Mailchimp Integration for Newsletter Subscribers</t>
  </si>
  <si>
    <t>Mailchimp News</t>
  </si>
  <si>
    <t>Integrations</t>
  </si>
  <si>
    <t>Published</t>
  </si>
  <si>
    <t>N/A</t>
  </si>
  <si>
    <t>Integrations,Enhance Conversions</t>
  </si>
  <si>
    <t>Fixed price</t>
  </si>
  <si>
    <t>Quick service</t>
  </si>
  <si>
    <t>Semi custom</t>
  </si>
  <si>
    <t>1 week</t>
  </si>
  <si>
    <t>Custom Search Filters for Directory Websites</t>
  </si>
  <si>
    <t>Search Filters</t>
  </si>
  <si>
    <t>Search &amp; Discovery</t>
  </si>
  <si>
    <t>deposit</t>
  </si>
  <si>
    <t>UI/UX,Customizations</t>
  </si>
  <si>
    <t>2 weeks</t>
  </si>
  <si>
    <t>Custom Tabs on Member Profile Pages</t>
  </si>
  <si>
    <t>Custom Tabs</t>
  </si>
  <si>
    <t>Member Profile Enhancement</t>
  </si>
  <si>
    <t>Customizations</t>
  </si>
  <si>
    <t>Ready to implement</t>
  </si>
  <si>
    <t>Add Social Icons to Footer – Brilliant Directories</t>
  </si>
  <si>
    <t>Footer Icons</t>
  </si>
  <si>
    <t>Page Design &amp; Development</t>
  </si>
  <si>
    <t>UI/UX,Enhance Conversions</t>
  </si>
  <si>
    <t>Quick</t>
  </si>
  <si>
    <t>3 days</t>
  </si>
  <si>
    <t>Add Mobile App Download Icons to Footer</t>
  </si>
  <si>
    <t>App Icons</t>
  </si>
  <si>
    <t>Add Images to Footer</t>
  </si>
  <si>
    <t>Footer Images</t>
  </si>
  <si>
    <t>Banner Ads on Header and Footer</t>
  </si>
  <si>
    <t>Banner Ads</t>
  </si>
  <si>
    <t>UI/UX,Customizations,Enhance Conversions</t>
  </si>
  <si>
    <t>Social Media Icons in Header</t>
  </si>
  <si>
    <t>Header Icons</t>
  </si>
  <si>
    <t>Schema for Home Page</t>
  </si>
  <si>
    <t>SEO &amp; Schema</t>
  </si>
  <si>
    <t>Enhance Conversions</t>
  </si>
  <si>
    <t>Ask for quote</t>
  </si>
  <si>
    <t>Schema for Members Profile Detail Page</t>
  </si>
  <si>
    <t>Member Detail Schema</t>
  </si>
  <si>
    <t>Event Schema for Event Detail Pages</t>
  </si>
  <si>
    <t>Event Schema</t>
  </si>
  <si>
    <t>Job Schema for Jobs Results Page</t>
  </si>
  <si>
    <t>Job Schema</t>
  </si>
  <si>
    <t>Essential SEO Audit</t>
  </si>
  <si>
    <t>Consultation</t>
  </si>
  <si>
    <t>Service</t>
  </si>
  <si>
    <t>Strategic SEO Audit (Advanced)</t>
  </si>
  <si>
    <t>SEO Audit</t>
  </si>
  <si>
    <t>SEO</t>
  </si>
  <si>
    <t>Flagship service</t>
  </si>
  <si>
    <t>Tawk.to Implementation for Live Chat</t>
  </si>
  <si>
    <t>Tawk Chat</t>
  </si>
  <si>
    <t>Intercom Live Chat for Brilliant Directories</t>
  </si>
  <si>
    <t>Zoho CRM Integration for Members Signup</t>
  </si>
  <si>
    <t>Zoho CRM</t>
  </si>
  <si>
    <t>Custom CRM for Brilliant Directories</t>
  </si>
  <si>
    <t>Custom CRM</t>
  </si>
  <si>
    <t>CRM</t>
  </si>
  <si>
    <t>Starts from</t>
  </si>
  <si>
    <t>Tool</t>
  </si>
  <si>
    <t>Fully custom</t>
  </si>
  <si>
    <t>Search Results Buttons</t>
  </si>
  <si>
    <t>Search Buttons</t>
  </si>
  <si>
    <t>Enhanced Member Card Elements in Search Results</t>
  </si>
  <si>
    <t>Member Card</t>
  </si>
  <si>
    <t>Custom Join Page Development</t>
  </si>
  <si>
    <t>Join Page Dev</t>
  </si>
  <si>
    <t>Custom How it Works Page Development</t>
  </si>
  <si>
    <t>How It Works Dev</t>
  </si>
  <si>
    <t>Custom Page Development as per your Idea</t>
  </si>
  <si>
    <t>Page Development</t>
  </si>
  <si>
    <t>Custom Page Development</t>
  </si>
  <si>
    <t>Calendly Integration for Members Profile Page</t>
  </si>
  <si>
    <t>Search Results Sidebar Call-To-Actions</t>
  </si>
  <si>
    <t xml:space="preserve">Search Results Sidebar CTA </t>
  </si>
  <si>
    <t>Lead Generation &amp; Conversion</t>
  </si>
  <si>
    <t>Quick Directory Review</t>
  </si>
  <si>
    <t>Review Quick</t>
  </si>
  <si>
    <t xml:space="preserve">Advanced Directory Review </t>
  </si>
  <si>
    <t>Review Advanced</t>
  </si>
  <si>
    <t>Latest Reviews on Search Results</t>
  </si>
  <si>
    <t>Latest Reviews</t>
  </si>
  <si>
    <t>Table of contents or index for articles</t>
  </si>
  <si>
    <t>Article Index</t>
  </si>
  <si>
    <t>Content &amp; Engagement</t>
  </si>
  <si>
    <t>Elevator Pitch Manager for Blog Articles</t>
  </si>
  <si>
    <t>Pitch Manager</t>
  </si>
  <si>
    <t>Edit Post URLs for Brilliant Directories</t>
  </si>
  <si>
    <t xml:space="preserve">Edit Post URLs </t>
  </si>
  <si>
    <t xml:space="preserve">Lead Gen on No Search Results Page </t>
  </si>
  <si>
    <t>No Result Lead</t>
  </si>
  <si>
    <t>Lead Gen on Search Results Page</t>
  </si>
  <si>
    <t>Lead CTA</t>
  </si>
  <si>
    <t>Member Profile Tabs Edits</t>
  </si>
  <si>
    <t>Profile Tabs</t>
  </si>
  <si>
    <t>Additional Fields on Contact Detail Page</t>
  </si>
  <si>
    <t>Contact Fields</t>
  </si>
  <si>
    <t>Custom Landing Page Design for Brilliant Directories Websites</t>
  </si>
  <si>
    <t>Landing Page Design</t>
  </si>
  <si>
    <t>Branding,UI/UX,Enhance Conversions</t>
  </si>
  <si>
    <t>Business Highlights for Member Profiles</t>
  </si>
  <si>
    <t>Business Highlights</t>
  </si>
  <si>
    <t>Complete Business Hours for Brilliant Directories</t>
  </si>
  <si>
    <t>Business Hours</t>
  </si>
  <si>
    <t>Custom Member Profile Detail Page Design for Brilliant Directories</t>
  </si>
  <si>
    <t>Profile Design</t>
  </si>
  <si>
    <t>UI/UX</t>
  </si>
  <si>
    <t>Custom Signup or Checkout Page</t>
  </si>
  <si>
    <t>Signup Page</t>
  </si>
  <si>
    <t>How to Edit Existing Tabs on Member Profile Pages</t>
  </si>
  <si>
    <t>Introduction Video for Member Profiles</t>
  </si>
  <si>
    <t>Intro Video</t>
  </si>
  <si>
    <t>Branding,Enhance Conversions</t>
  </si>
  <si>
    <t>Photo Gallery for Members</t>
  </si>
  <si>
    <t>Photo Gallery</t>
  </si>
  <si>
    <t>FAQ Management Plugin</t>
  </si>
  <si>
    <t>FAQ Management</t>
  </si>
  <si>
    <t>monthly,annually</t>
  </si>
  <si>
    <t>Subscription</t>
  </si>
  <si>
    <t>Constant Contact Integration for Member Signup</t>
  </si>
  <si>
    <t>Constant Contact Integration</t>
  </si>
  <si>
    <t>Integrations,CRM</t>
  </si>
  <si>
    <t>Job Schema for Job Detail Page</t>
  </si>
  <si>
    <t>Jobs Schema</t>
  </si>
  <si>
    <t>Blog Schema for Blogs Results Page</t>
  </si>
  <si>
    <t>Blog Schema</t>
  </si>
  <si>
    <t>Bitrix24 Integration for Members Signup</t>
  </si>
  <si>
    <t>Draft</t>
  </si>
  <si>
    <t>Integration</t>
  </si>
  <si>
    <t>Blog Post and Article Writing</t>
  </si>
  <si>
    <t>Content Writing</t>
  </si>
  <si>
    <t>Call To Action Manager for Blog Articles</t>
  </si>
  <si>
    <t>Chatbot Development and Setup</t>
  </si>
  <si>
    <t>Custom Implementation</t>
  </si>
  <si>
    <t>Copywriting for Email Funnels</t>
  </si>
  <si>
    <t>Copywriting</t>
  </si>
  <si>
    <t>Copywriting for Landing Page Funnels</t>
  </si>
  <si>
    <t>Copywriting of About Us Page</t>
  </si>
  <si>
    <t>Copywriting of Addon Services of your Directory</t>
  </si>
  <si>
    <t>Copywriting of Category Page's Contents</t>
  </si>
  <si>
    <t>Copywriting of Core Services of your Directory</t>
  </si>
  <si>
    <t>Copywriting of Home Page</t>
  </si>
  <si>
    <t>Copywriting of Join Page</t>
  </si>
  <si>
    <t>Customize the Members Signup Forms</t>
  </si>
  <si>
    <t>Form Customizations</t>
  </si>
  <si>
    <t>E-Commerce for BD Sites</t>
  </si>
  <si>
    <t>E-Commerce</t>
  </si>
  <si>
    <t>Hubspot Integration for Members Signup</t>
  </si>
  <si>
    <t>Outreach Support - Advanced Level</t>
  </si>
  <si>
    <t>Marketing</t>
  </si>
  <si>
    <t>Outreach Support - Basic Level</t>
  </si>
  <si>
    <t>Pipedrive Integration for Members Signup</t>
  </si>
  <si>
    <t>Search Results FAQ with FAQ Management Plugin</t>
  </si>
  <si>
    <t>FAQ Plugin</t>
  </si>
  <si>
    <t>Sendinblue's Tracking Integration</t>
  </si>
  <si>
    <t>Step by Step Article: How to Create your Business Listing on the Directory</t>
  </si>
  <si>
    <t>Onboarding</t>
  </si>
  <si>
    <t>Video on No Search Results Page</t>
  </si>
  <si>
    <t>Video or Form Installation</t>
  </si>
  <si>
    <t>Quick Design Edits</t>
  </si>
  <si>
    <t>Video: How to Create your Business Listing on the Directory</t>
  </si>
  <si>
    <t>Mailchimp Integration for Member Signup</t>
  </si>
  <si>
    <t>Mailchimp Signup</t>
  </si>
  <si>
    <t>Pending</t>
  </si>
  <si>
    <t>FAQ Page with FAQ Management Plugin</t>
  </si>
  <si>
    <t>FAQ Page</t>
  </si>
  <si>
    <t>Custom Badge Display on Search Results Page</t>
  </si>
  <si>
    <t>Badge Display</t>
  </si>
  <si>
    <t>Schema for Category Search Results Page</t>
  </si>
  <si>
    <t>Member Category Schema</t>
  </si>
  <si>
    <t>Schema for Events Search Results Page</t>
  </si>
  <si>
    <t>Events Search Schema</t>
  </si>
  <si>
    <t>Add Job Schema to Brilliant Directories Job Detail Pages</t>
  </si>
  <si>
    <t>Job Detail Schema</t>
  </si>
  <si>
    <t>Custom Sitemap of Member Profile Pages</t>
  </si>
  <si>
    <t>Sitemap Profiles</t>
  </si>
  <si>
    <t>Custom Sitemap for Search Results Pages</t>
  </si>
  <si>
    <t>Sitemap Search</t>
  </si>
  <si>
    <t>Custom Sitemap for Events Results Pages</t>
  </si>
  <si>
    <t>Sitemap Event Results</t>
  </si>
  <si>
    <t>Custom Sitemap for Events</t>
  </si>
  <si>
    <t>Sitemap Events</t>
  </si>
  <si>
    <t xml:space="preserve"> Custom Sitemap for Job Listings</t>
  </si>
  <si>
    <t>Sitemap Jobs</t>
  </si>
  <si>
    <t>Custom Sitemap for Articles Results Pages</t>
  </si>
  <si>
    <t>Sitemap Article Results</t>
  </si>
  <si>
    <t>Custom Sitemap for Articles</t>
  </si>
  <si>
    <t>Sitemap Articles</t>
  </si>
  <si>
    <t>Custom Sitemap for Jobs Results Pages</t>
  </si>
  <si>
    <t>Sitemap Job Results</t>
  </si>
  <si>
    <t>Members Approval Flow</t>
  </si>
  <si>
    <t>Approval Flow</t>
  </si>
  <si>
    <t>SEO Consulting Call for Your Brilliant Directories Website</t>
  </si>
  <si>
    <t>SEO Call</t>
  </si>
  <si>
    <t>Consultation,Marketing &amp; Sales</t>
  </si>
  <si>
    <t>Custom Homepage Design for Directory Websites</t>
  </si>
  <si>
    <t>Home Page Design</t>
  </si>
  <si>
    <t>How to Enhance Member Profile Page on Directory</t>
  </si>
  <si>
    <t>Profile Enhance</t>
  </si>
  <si>
    <t>UI UX / Page Design - Home Page</t>
  </si>
  <si>
    <t>UI UX Home</t>
  </si>
  <si>
    <t>Branding,UI/UX</t>
  </si>
  <si>
    <t>UI UX / Page Design - Join Page</t>
  </si>
  <si>
    <t>UI UX / Page Design - How it Works Page</t>
  </si>
  <si>
    <t>UI UX / Page Design - Member Profile Detail Page</t>
  </si>
  <si>
    <t xml:space="preserve"> Static FAQ Page Design</t>
  </si>
  <si>
    <t>Static FAQ</t>
  </si>
  <si>
    <t>Feature Member's on Other Member Profile</t>
  </si>
  <si>
    <t>Feature Member</t>
  </si>
  <si>
    <t>Smart CTA for No Search Results Pages</t>
  </si>
  <si>
    <t>Smart CTA</t>
  </si>
  <si>
    <t>PhpBB Forum Setup and Installation</t>
  </si>
  <si>
    <t>PhpBB Forum</t>
  </si>
  <si>
    <t>Additional Fields on Listing Details Page</t>
  </si>
  <si>
    <t>Listing Fields</t>
  </si>
  <si>
    <t>basic</t>
  </si>
  <si>
    <t>Google Analytics Integration for Directory Sites</t>
  </si>
  <si>
    <t>Google Analytics</t>
  </si>
  <si>
    <t>Meta Pixel Integration</t>
  </si>
  <si>
    <t>Meta Pixel</t>
  </si>
  <si>
    <t>Marketing &amp; Sales</t>
  </si>
  <si>
    <t>How to Add Google Reviews to Member Profiles</t>
  </si>
  <si>
    <t>Add Google Reviews to Member Profiles</t>
  </si>
  <si>
    <t>Search Results FAQ (Static)</t>
  </si>
  <si>
    <t>FAQ Static</t>
  </si>
  <si>
    <t>Chatbot Integration</t>
  </si>
  <si>
    <t>Related Posts for Blogs – You May Also Like</t>
  </si>
  <si>
    <t>Related Posts</t>
  </si>
  <si>
    <t>Custom Landing Page Design for Directory Websites</t>
  </si>
  <si>
    <t>Dashboard Checklist</t>
  </si>
  <si>
    <t>Foundational SEO for Your BD Website</t>
  </si>
  <si>
    <t>SEO Setup</t>
  </si>
  <si>
    <t>1 month</t>
  </si>
  <si>
    <t>Members Approval Plugin for Directory Websites</t>
  </si>
  <si>
    <t>Member Approval</t>
  </si>
  <si>
    <t>Video Preview on Member Profiles Setup Guide</t>
  </si>
  <si>
    <t>Video Preview</t>
  </si>
  <si>
    <t>monthly</t>
  </si>
  <si>
    <t>Floating Social Media Icons for Directory Websites</t>
  </si>
  <si>
    <t>Floating Icons</t>
  </si>
  <si>
    <t>Onboarding,Customizations</t>
  </si>
  <si>
    <t>Property Schema for Properties Results Page</t>
  </si>
  <si>
    <t>Property Search Schema</t>
  </si>
  <si>
    <t>Schema for Properties Listing Detail Page</t>
  </si>
  <si>
    <t>Property Schema for Property Detail Page</t>
  </si>
  <si>
    <t>Property Detail Schema</t>
  </si>
  <si>
    <t xml:space="preserve"> Property Detail Page</t>
  </si>
  <si>
    <t>Product Schema for Product Detail Page</t>
  </si>
  <si>
    <t xml:space="preserve"> Products Detail Page</t>
  </si>
  <si>
    <t>Product Schema for Products Results Page</t>
  </si>
  <si>
    <t>Schema for Products</t>
  </si>
  <si>
    <t>Video Preview on Member Profiles – Lifetime Deal</t>
  </si>
  <si>
    <t>Blog Schema for Blog Detail Page</t>
  </si>
  <si>
    <t>Tool Name</t>
  </si>
  <si>
    <t>Short Name</t>
  </si>
  <si>
    <t>Short Title for Search Results</t>
  </si>
  <si>
    <t>Categories</t>
  </si>
  <si>
    <t>Solutions — 8 Hub Categories</t>
  </si>
  <si>
    <t>Pending Approval</t>
  </si>
  <si>
    <t>Member Management &amp; Automation</t>
  </si>
  <si>
    <t>Property Detail Page</t>
  </si>
  <si>
    <t>Products Detail Page</t>
  </si>
  <si>
    <t>Static FAQ Page Design</t>
  </si>
  <si>
    <t>Undecided Tools</t>
  </si>
  <si>
    <t>Recommended Home</t>
  </si>
  <si>
    <t>/customization (custom project)</t>
  </si>
  <si>
    <t>/consultation — it's a consultation service</t>
  </si>
  <si>
    <t>/consultation</t>
  </si>
  <si>
    <t>Decisions Needed Before Publishing Hub Pages</t>
  </si>
  <si>
    <t>1. SEO Hub (28 tools): The sitemap tools (14 variations) — are all 14 separate products, or consolidate into "Custom Sitemaps" with type variants on one page?</t>
  </si>
  <si>
    <t>2. Content Hub (16 tools): Copywriting is a different type of service (writers do the work, not developers). Should it live in Solutions or get its own "Copywriting" category?</t>
  </si>
  <si>
    <t>3. Consultations (3 tools): Quick/Advanced Directory Review → confirm they live under /consultation, not in the solutions catalog.</t>
  </si>
  <si>
    <t>4. E-Commerce ($6,000): Custom project → confirm it lives under /customization, not solutions.</t>
  </si>
  <si>
    <t>5. Hub 4 Search (only 5 tools): Smallest hub. Consider if "Latest Reviews on Search Results" (Hub 2) also fits here for volume.</t>
  </si>
  <si>
    <t>6. Draft tools (23 total): Decide which drafts to publish before site launch vs hold.</t>
  </si>
  <si>
    <t>Tool Title</t>
  </si>
  <si>
    <t>Content</t>
  </si>
  <si>
    <t>Post Image</t>
  </si>
  <si>
    <t>Screenshots</t>
  </si>
  <si>
    <t>Demo video</t>
  </si>
  <si>
    <t>-</t>
  </si>
  <si>
    <t>Yes</t>
  </si>
  <si>
    <t>Category / Theme</t>
  </si>
  <si>
    <t>Variation 1</t>
  </si>
  <si>
    <t>Variation 2</t>
  </si>
  <si>
    <t>Variation 3</t>
  </si>
  <si>
    <t>Landing Pages</t>
  </si>
  <si>
    <t>Member Approvals</t>
  </si>
  <si>
    <t>Article Sitemaps</t>
  </si>
  <si>
    <t>Event Sitemaps</t>
  </si>
  <si>
    <t>Job Sitemaps</t>
  </si>
  <si>
    <t>Custom Sitemap for Job Listings</t>
  </si>
  <si>
    <t>Signup &amp; Join Flows</t>
  </si>
  <si>
    <t>Static FAQs</t>
  </si>
  <si>
    <t>FAQ Plugins</t>
  </si>
  <si>
    <t>Mailchimp Integrations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</si>
</sst>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;-$#,##0;&quot;-&quot;"/>
    <numFmt numFmtId="165" formatCode="&quot;$&quot;#,##0_ ;-&quot;$&quot;#,##0 ;&quot;-&quot; ;@"/>
  </numFmts>
  <fonts count="38">
    <font>
      <sz val="10.0"/>
      <color rgb="FF000000"/>
      <name val="Arial"/>
      <scheme val="minor"/>
    </font>
    <font>
      <b/>
      <sz val="10.0"/>
      <color rgb="FFFFFFFF"/>
      <name val="Montserrat"/>
    </font>
    <font>
      <u/>
      <color rgb="FF0000FF"/>
    </font>
    <font>
      <sz val="10.0"/>
      <color rgb="FF181B1F"/>
      <name val="Roboto"/>
    </font>
    <font>
      <u/>
      <color rgb="FF0000FF"/>
    </font>
    <font>
      <u/>
      <color rgb="FF0000FF"/>
    </font>
    <font>
      <u/>
      <color rgb="FF0000FF"/>
    </font>
    <font>
      <color theme="1"/>
      <name val="Arial"/>
      <scheme val="minor"/>
    </font>
    <font>
      <b/>
      <sz val="11.0"/>
      <color rgb="FFFFFFFF"/>
      <name val="Montserrat"/>
    </font>
    <font>
      <u/>
      <sz val="10.0"/>
      <color rgb="FF0000FF"/>
      <name val="Roboto"/>
    </font>
    <font>
      <sz val="10.0"/>
      <color theme="1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b/>
      <color theme="1"/>
      <name val="Roboto"/>
    </font>
    <font>
      <b/>
      <color rgb="FFFFFFFF"/>
      <name val="Roboto"/>
    </font>
    <font>
      <u/>
      <color rgb="FF1155CC"/>
      <name val="Roboto"/>
    </font>
    <font>
      <color theme="1"/>
      <name val="Roboto"/>
    </font>
    <font>
      <u/>
      <color rgb="FF1155CC"/>
      <name val="Roboto"/>
    </font>
    <font>
      <u/>
      <color rgb="FF0000FF"/>
      <name val="Roboto"/>
    </font>
    <font>
      <color theme="1"/>
      <name val="Arial"/>
    </font>
    <font>
      <u/>
      <color rgb="FF1155CC"/>
      <name val="Roboto"/>
    </font>
    <font>
      <u/>
      <color rgb="FF0000FF"/>
      <name val="Roboto"/>
    </font>
    <font>
      <u/>
      <color rgb="FF1155CC"/>
      <name val="Roboto"/>
    </font>
    <font>
      <color rgb="FF181B1F"/>
      <name val="Roboto"/>
    </font>
    <font>
      <u/>
      <color rgb="FF1155CC"/>
      <name val="Roboto"/>
    </font>
    <font>
      <u/>
      <sz val="10.0"/>
      <color rgb="FF0000FF"/>
      <name val="Roboto"/>
    </font>
    <font>
      <u/>
      <color rgb="FF0000FF"/>
      <name val="Roboto"/>
    </font>
    <font>
      <u/>
      <color rgb="FF1155CC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b/>
      <color rgb="FF000000"/>
      <name val="Roboto"/>
    </font>
    <font>
      <b/>
      <sz val="18.0"/>
      <color theme="1"/>
      <name val="Roboto"/>
    </font>
    <font/>
    <font>
      <u/>
      <sz val="10.0"/>
      <color rgb="FF0000FF"/>
      <name val="Roboto"/>
    </font>
    <font>
      <u/>
      <sz val="10.0"/>
      <color rgb="FF0000FF"/>
      <name val="Roboto"/>
    </font>
    <font>
      <b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3E5E8F"/>
        <bgColor rgb="FF3E5E8F"/>
      </patternFill>
    </fill>
    <fill>
      <patternFill patternType="solid">
        <fgColor rgb="FFF8F8FF"/>
        <bgColor rgb="FFF8F8FF"/>
      </patternFill>
    </fill>
    <fill>
      <patternFill patternType="solid">
        <fgColor rgb="FFFFFFFF"/>
        <bgColor rgb="FFFFFFFF"/>
      </patternFill>
    </fill>
    <fill>
      <patternFill patternType="solid">
        <fgColor rgb="FF3E5F90"/>
        <bgColor rgb="FF3E5F90"/>
      </patternFill>
    </fill>
    <fill>
      <patternFill patternType="solid">
        <fgColor rgb="FF3D5D8E"/>
        <bgColor rgb="FF3D5D8E"/>
      </patternFill>
    </fill>
    <fill>
      <patternFill patternType="solid">
        <fgColor rgb="FFF1C232"/>
        <bgColor rgb="FFF1C232"/>
      </patternFill>
    </fill>
    <fill>
      <patternFill patternType="solid">
        <fgColor rgb="FF4A86E8"/>
        <bgColor rgb="FF4A86E8"/>
      </patternFill>
    </fill>
    <fill>
      <patternFill patternType="solid">
        <fgColor rgb="FFE0F7FA"/>
        <bgColor rgb="FFE0F7FA"/>
      </patternFill>
    </fill>
    <fill>
      <patternFill patternType="solid">
        <fgColor rgb="FF6D9EEB"/>
        <bgColor rgb="FF6D9EEB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vertical="center"/>
    </xf>
    <xf borderId="0" fillId="3" fontId="3" numFmtId="0" xfId="0" applyAlignment="1" applyFont="1">
      <alignment readingOrder="0" shrinkToFit="0" vertical="center" wrapText="1"/>
    </xf>
    <xf borderId="0" fillId="3" fontId="3" numFmtId="0" xfId="0" applyAlignment="1" applyFont="1">
      <alignment readingOrder="0" vertical="center"/>
    </xf>
    <xf borderId="0" fillId="3" fontId="3" numFmtId="0" xfId="0" applyAlignment="1" applyFont="1">
      <alignment vertical="center"/>
    </xf>
    <xf borderId="0" fillId="3" fontId="3" numFmtId="0" xfId="0" applyAlignment="1" applyFont="1">
      <alignment horizontal="center" readingOrder="0" vertical="center"/>
    </xf>
    <xf borderId="0" fillId="3" fontId="3" numFmtId="164" xfId="0" applyAlignment="1" applyFont="1" applyNumberFormat="1">
      <alignment readingOrder="0" vertical="center"/>
    </xf>
    <xf borderId="0" fillId="4" fontId="4" numFmtId="0" xfId="0" applyAlignment="1" applyFill="1" applyFont="1">
      <alignment horizontal="center" readingOrder="0" vertical="center"/>
    </xf>
    <xf borderId="0" fillId="4" fontId="3" numFmtId="0" xfId="0" applyAlignment="1" applyFont="1">
      <alignment readingOrder="0" shrinkToFit="0" vertical="center" wrapText="1"/>
    </xf>
    <xf borderId="0" fillId="4" fontId="3" numFmtId="0" xfId="0" applyAlignment="1" applyFont="1">
      <alignment readingOrder="0" vertical="center"/>
    </xf>
    <xf borderId="0" fillId="4" fontId="3" numFmtId="0" xfId="0" applyAlignment="1" applyFont="1">
      <alignment vertical="center"/>
    </xf>
    <xf borderId="0" fillId="4" fontId="3" numFmtId="0" xfId="0" applyAlignment="1" applyFont="1">
      <alignment horizontal="center" readingOrder="0" vertical="center"/>
    </xf>
    <xf borderId="0" fillId="4" fontId="3" numFmtId="164" xfId="0" applyAlignment="1" applyFont="1" applyNumberFormat="1">
      <alignment readingOrder="0" vertical="center"/>
    </xf>
    <xf borderId="0" fillId="3" fontId="5" numFmtId="0" xfId="0" applyAlignment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4" fontId="3" numFmtId="0" xfId="0" applyAlignment="1" applyFont="1">
      <alignment shrinkToFit="0" vertical="center" wrapText="1"/>
    </xf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/>
    </xf>
    <xf borderId="0" fillId="0" fontId="7" numFmtId="164" xfId="0" applyFont="1" applyNumberFormat="1"/>
    <xf borderId="0" fillId="5" fontId="8" numFmtId="0" xfId="0" applyAlignment="1" applyFill="1" applyFont="1">
      <alignment horizontal="center" readingOrder="0" shrinkToFit="0" vertical="center" wrapText="1"/>
    </xf>
    <xf borderId="0" fillId="3" fontId="9" numFmtId="0" xfId="0" applyAlignment="1" applyFont="1">
      <alignment readingOrder="0" shrinkToFit="0" wrapText="1"/>
    </xf>
    <xf borderId="0" fillId="3" fontId="10" numFmtId="0" xfId="0" applyAlignment="1" applyFont="1">
      <alignment readingOrder="0" shrinkToFit="0" wrapText="1"/>
    </xf>
    <xf borderId="0" fillId="3" fontId="10" numFmtId="0" xfId="0" applyAlignment="1" applyFont="1">
      <alignment horizontal="center" readingOrder="0" shrinkToFit="0" wrapText="1"/>
    </xf>
    <xf borderId="0" fillId="3" fontId="10" numFmtId="164" xfId="0" applyAlignment="1" applyFont="1" applyNumberFormat="1">
      <alignment readingOrder="0" shrinkToFit="0" wrapText="1"/>
    </xf>
    <xf borderId="0" fillId="4" fontId="11" numFmtId="0" xfId="0" applyAlignment="1" applyFont="1">
      <alignment readingOrder="0" shrinkToFit="0" wrapText="1"/>
    </xf>
    <xf borderId="0" fillId="4" fontId="10" numFmtId="0" xfId="0" applyAlignment="1" applyFont="1">
      <alignment readingOrder="0" shrinkToFit="0" wrapText="1"/>
    </xf>
    <xf borderId="0" fillId="4" fontId="10" numFmtId="0" xfId="0" applyAlignment="1" applyFont="1">
      <alignment horizontal="center" readingOrder="0" shrinkToFit="0" wrapText="1"/>
    </xf>
    <xf borderId="0" fillId="4" fontId="10" numFmtId="164" xfId="0" applyAlignment="1" applyFont="1" applyNumberFormat="1">
      <alignment readingOrder="0" shrinkToFit="0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0" numFmtId="165" xfId="0" applyAlignment="1" applyFont="1" applyNumberForma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7" numFmtId="0" xfId="0" applyAlignment="1" applyFont="1">
      <alignment shrinkToFit="0" wrapText="0"/>
    </xf>
    <xf borderId="0" fillId="0" fontId="7" numFmtId="0" xfId="0" applyFont="1"/>
    <xf borderId="0" fillId="7" fontId="13" numFmtId="0" xfId="0" applyAlignment="1" applyFill="1" applyFont="1">
      <alignment horizontal="center"/>
    </xf>
    <xf borderId="0" fillId="0" fontId="7" numFmtId="0" xfId="0" applyAlignment="1" applyFont="1">
      <alignment horizontal="left"/>
    </xf>
    <xf borderId="0" fillId="8" fontId="14" numFmtId="0" xfId="0" applyAlignment="1" applyFill="1" applyFont="1">
      <alignment horizontal="center"/>
    </xf>
    <xf borderId="0" fillId="8" fontId="14" numFmtId="0" xfId="0" applyAlignment="1" applyFont="1">
      <alignment horizontal="center" shrinkToFit="0" wrapText="0"/>
    </xf>
    <xf borderId="0" fillId="4" fontId="15" numFmtId="0" xfId="0" applyAlignment="1" applyFont="1">
      <alignment horizontal="center" vertical="bottom"/>
    </xf>
    <xf borderId="0" fillId="4" fontId="16" numFmtId="0" xfId="0" applyAlignment="1" applyFont="1">
      <alignment shrinkToFit="0" vertical="bottom" wrapText="0"/>
    </xf>
    <xf borderId="0" fillId="4" fontId="16" numFmtId="0" xfId="0" applyAlignment="1" applyFont="1">
      <alignment vertical="bottom"/>
    </xf>
    <xf borderId="0" fillId="4" fontId="16" numFmtId="0" xfId="0" applyAlignment="1" applyFont="1">
      <alignment shrinkToFit="0" vertical="bottom" wrapText="1"/>
    </xf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9" fontId="17" numFmtId="0" xfId="0" applyAlignment="1" applyFill="1" applyFont="1">
      <alignment horizontal="center" vertical="bottom"/>
    </xf>
    <xf borderId="0" fillId="9" fontId="16" numFmtId="0" xfId="0" applyAlignment="1" applyFont="1">
      <alignment shrinkToFit="0" vertical="bottom" wrapText="0"/>
    </xf>
    <xf borderId="0" fillId="9" fontId="16" numFmtId="0" xfId="0" applyAlignment="1" applyFont="1">
      <alignment vertical="bottom"/>
    </xf>
    <xf borderId="0" fillId="9" fontId="16" numFmtId="0" xfId="0" applyAlignment="1" applyFont="1">
      <alignment shrinkToFit="0" vertical="bottom" wrapText="1"/>
    </xf>
    <xf borderId="1" fillId="0" fontId="13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0" fillId="4" fontId="18" numFmtId="0" xfId="0" applyAlignment="1" applyFont="1">
      <alignment horizontal="center" readingOrder="0" vertical="bottom"/>
    </xf>
    <xf borderId="0" fillId="4" fontId="16" numFmtId="0" xfId="0" applyAlignment="1" applyFont="1">
      <alignment readingOrder="0" shrinkToFit="0" vertical="bottom" wrapText="0"/>
    </xf>
    <xf borderId="0" fillId="4" fontId="16" numFmtId="0" xfId="0" applyAlignment="1" applyFont="1">
      <alignment readingOrder="0" shrinkToFit="0" vertical="bottom" wrapText="1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4" fontId="16" numFmtId="0" xfId="0" applyAlignment="1" applyFont="1">
      <alignment readingOrder="0" vertical="bottom"/>
    </xf>
    <xf borderId="0" fillId="0" fontId="16" numFmtId="0" xfId="0" applyAlignment="1" applyFont="1">
      <alignment horizontal="center" readingOrder="0"/>
    </xf>
    <xf borderId="0" fillId="0" fontId="19" numFmtId="0" xfId="0" applyAlignment="1" applyFont="1">
      <alignment horizontal="center" vertical="bottom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vertical="bottom"/>
    </xf>
    <xf borderId="0" fillId="7" fontId="13" numFmtId="0" xfId="0" applyAlignment="1" applyFont="1">
      <alignment horizontal="center" vertical="bottom"/>
    </xf>
    <xf borderId="0" fillId="4" fontId="19" numFmtId="0" xfId="0" applyAlignment="1" applyFont="1">
      <alignment vertical="bottom"/>
    </xf>
    <xf borderId="0" fillId="4" fontId="16" numFmtId="0" xfId="0" applyAlignment="1" applyFont="1">
      <alignment shrinkToFit="0" wrapText="1"/>
    </xf>
    <xf borderId="0" fillId="9" fontId="19" numFmtId="0" xfId="0" applyAlignment="1" applyFont="1">
      <alignment vertical="bottom"/>
    </xf>
    <xf borderId="0" fillId="9" fontId="16" numFmtId="0" xfId="0" applyAlignment="1" applyFont="1">
      <alignment shrinkToFit="0" wrapText="1"/>
    </xf>
    <xf borderId="0" fillId="9" fontId="20" numFmtId="0" xfId="0" applyAlignment="1" applyFont="1">
      <alignment horizontal="center" shrinkToFit="0" vertical="bottom" wrapText="1"/>
    </xf>
    <xf borderId="0" fillId="9" fontId="19" numFmtId="0" xfId="0" applyAlignment="1" applyFont="1">
      <alignment shrinkToFit="0" vertical="bottom" wrapText="0"/>
    </xf>
    <xf borderId="0" fillId="9" fontId="21" numFmtId="0" xfId="0" applyAlignment="1" applyFont="1">
      <alignment horizontal="center" readingOrder="0" shrinkToFit="0" vertical="bottom" wrapText="1"/>
    </xf>
    <xf borderId="0" fillId="9" fontId="16" numFmtId="0" xfId="0" applyAlignment="1" applyFont="1">
      <alignment readingOrder="0" shrinkToFit="0" vertical="bottom" wrapText="0"/>
    </xf>
    <xf borderId="0" fillId="9" fontId="19" numFmtId="0" xfId="0" applyAlignment="1" applyFont="1">
      <alignment readingOrder="0" shrinkToFit="0" vertical="bottom" wrapText="0"/>
    </xf>
    <xf borderId="0" fillId="9" fontId="16" numFmtId="0" xfId="0" applyAlignment="1" applyFont="1">
      <alignment readingOrder="0" shrinkToFit="0" vertical="bottom" wrapText="1"/>
    </xf>
    <xf borderId="0" fillId="3" fontId="22" numFmtId="0" xfId="0" applyAlignment="1" applyFont="1">
      <alignment horizontal="center"/>
    </xf>
    <xf borderId="0" fillId="3" fontId="23" numFmtId="0" xfId="0" applyAlignment="1" applyFont="1">
      <alignment shrinkToFit="0" wrapText="0"/>
    </xf>
    <xf borderId="0" fillId="3" fontId="19" numFmtId="0" xfId="0" applyFont="1"/>
    <xf borderId="0" fillId="3" fontId="23" numFmtId="0" xfId="0" applyAlignment="1" applyFont="1">
      <alignment shrinkToFit="0" wrapText="1"/>
    </xf>
    <xf borderId="0" fillId="4" fontId="24" numFmtId="0" xfId="0" applyAlignment="1" applyFont="1">
      <alignment horizontal="center"/>
    </xf>
    <xf borderId="0" fillId="4" fontId="23" numFmtId="0" xfId="0" applyAlignment="1" applyFont="1">
      <alignment shrinkToFit="0" wrapText="0"/>
    </xf>
    <xf borderId="0" fillId="4" fontId="23" numFmtId="0" xfId="0" applyFont="1"/>
    <xf borderId="0" fillId="4" fontId="23" numFmtId="0" xfId="0" applyAlignment="1" applyFont="1">
      <alignment shrinkToFit="0" wrapText="1"/>
    </xf>
    <xf borderId="0" fillId="4" fontId="19" numFmtId="0" xfId="0" applyFont="1"/>
    <xf borderId="0" fillId="3" fontId="23" numFmtId="0" xfId="0" applyFont="1"/>
    <xf borderId="0" fillId="0" fontId="25" numFmtId="0" xfId="0" applyAlignment="1" applyFont="1">
      <alignment horizontal="center" readingOrder="0" shrinkToFit="0" wrapText="1"/>
    </xf>
    <xf borderId="0" fillId="0" fontId="26" numFmtId="0" xfId="0" applyAlignment="1" applyFont="1">
      <alignment horizontal="center" readingOrder="0"/>
    </xf>
    <xf borderId="0" fillId="3" fontId="23" numFmtId="0" xfId="0" applyAlignment="1" applyFont="1">
      <alignment readingOrder="0" shrinkToFit="0" wrapText="0"/>
    </xf>
    <xf borderId="0" fillId="3" fontId="23" numFmtId="0" xfId="0" applyAlignment="1" applyFont="1">
      <alignment readingOrder="0" shrinkToFit="0" wrapText="1"/>
    </xf>
    <xf borderId="0" fillId="3" fontId="23" numFmtId="0" xfId="0" applyAlignment="1" applyFont="1">
      <alignment readingOrder="0" shrinkToFit="0" vertical="bottom" wrapText="0"/>
    </xf>
    <xf borderId="0" fillId="3" fontId="19" numFmtId="0" xfId="0" applyAlignment="1" applyFont="1">
      <alignment vertical="bottom"/>
    </xf>
    <xf borderId="0" fillId="3" fontId="23" numFmtId="0" xfId="0" applyAlignment="1" applyFont="1">
      <alignment readingOrder="0" shrinkToFit="0" vertical="bottom" wrapText="1"/>
    </xf>
    <xf borderId="0" fillId="0" fontId="27" numFmtId="0" xfId="0" applyAlignment="1" applyFont="1">
      <alignment horizontal="center"/>
    </xf>
    <xf borderId="0" fillId="0" fontId="23" numFmtId="0" xfId="0" applyAlignment="1" applyFont="1">
      <alignment shrinkToFit="0" wrapText="0"/>
    </xf>
    <xf borderId="0" fillId="0" fontId="19" numFmtId="0" xfId="0" applyFont="1"/>
    <xf borderId="0" fillId="0" fontId="23" numFmtId="0" xfId="0" applyAlignment="1" applyFont="1">
      <alignment shrinkToFit="0" wrapText="1"/>
    </xf>
    <xf borderId="0" fillId="0" fontId="28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vertical="center"/>
    </xf>
    <xf borderId="0" fillId="4" fontId="16" numFmtId="0" xfId="0" applyAlignment="1" applyFont="1">
      <alignment readingOrder="0" shrinkToFit="0" wrapText="1"/>
    </xf>
    <xf borderId="0" fillId="4" fontId="29" numFmtId="0" xfId="0" applyAlignment="1" applyFont="1">
      <alignment horizontal="center" readingOrder="0"/>
    </xf>
    <xf borderId="0" fillId="4" fontId="16" numFmtId="0" xfId="0" applyAlignment="1" applyFont="1">
      <alignment readingOrder="0" shrinkToFit="0" wrapText="0"/>
    </xf>
    <xf borderId="0" fillId="4" fontId="16" numFmtId="0" xfId="0" applyFont="1"/>
    <xf borderId="0" fillId="4" fontId="16" numFmtId="0" xfId="0" applyAlignment="1" applyFont="1">
      <alignment readingOrder="0" shrinkToFit="0" wrapText="1"/>
    </xf>
    <xf borderId="0" fillId="0" fontId="23" numFmtId="0" xfId="0" applyFont="1"/>
    <xf borderId="0" fillId="4" fontId="16" numFmtId="0" xfId="0" applyAlignment="1" applyFont="1">
      <alignment readingOrder="0"/>
    </xf>
    <xf borderId="0" fillId="4" fontId="16" numFmtId="0" xfId="0" applyAlignment="1" applyFont="1">
      <alignment shrinkToFit="0" wrapText="0"/>
    </xf>
    <xf borderId="0" fillId="0" fontId="30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16" numFmtId="0" xfId="0" applyAlignment="1" applyFont="1">
      <alignment readingOrder="0" shrinkToFit="0" wrapText="0"/>
    </xf>
    <xf borderId="0" fillId="0" fontId="16" numFmtId="0" xfId="0" applyFont="1"/>
    <xf borderId="0" fillId="0" fontId="16" numFmtId="0" xfId="0" applyAlignment="1" applyFont="1">
      <alignment readingOrder="0" shrinkToFit="0" wrapText="1"/>
    </xf>
    <xf borderId="0" fillId="0" fontId="16" numFmtId="0" xfId="0" applyAlignment="1" applyFont="1">
      <alignment shrinkToFit="0" wrapText="0"/>
    </xf>
    <xf borderId="0" fillId="0" fontId="19" numFmtId="0" xfId="0" applyAlignment="1" applyFont="1">
      <alignment shrinkToFit="0" wrapText="0"/>
    </xf>
    <xf borderId="0" fillId="0" fontId="31" numFmtId="0" xfId="0" applyAlignment="1" applyFont="1">
      <alignment horizontal="center" readingOrder="0"/>
    </xf>
    <xf borderId="0" fillId="0" fontId="16" numFmtId="0" xfId="0" applyAlignment="1" applyFont="1">
      <alignment readingOrder="0" shrinkToFit="0" wrapText="0"/>
    </xf>
    <xf borderId="0" fillId="0" fontId="16" numFmtId="0" xfId="0" applyFont="1"/>
    <xf borderId="0" fillId="0" fontId="16" numFmtId="0" xfId="0" applyAlignment="1" applyFont="1">
      <alignment readingOrder="0" shrinkToFit="0" wrapText="1"/>
    </xf>
    <xf borderId="0" fillId="0" fontId="16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10" fontId="32" numFmtId="0" xfId="0" applyAlignment="1" applyFill="1" applyFont="1">
      <alignment horizontal="center" readingOrder="0"/>
    </xf>
    <xf borderId="0" fillId="10" fontId="16" numFmtId="0" xfId="0" applyAlignment="1" applyFont="1">
      <alignment horizontal="left"/>
    </xf>
    <xf borderId="0" fillId="11" fontId="32" numFmtId="0" xfId="0" applyAlignment="1" applyFill="1" applyFont="1">
      <alignment horizontal="center"/>
    </xf>
    <xf borderId="0" fillId="11" fontId="32" numFmtId="0" xfId="0" applyAlignment="1" applyFont="1">
      <alignment horizontal="center" shrinkToFit="0" wrapText="0"/>
    </xf>
    <xf borderId="0" fillId="11" fontId="13" numFmtId="0" xfId="0" applyAlignment="1" applyFont="1">
      <alignment horizontal="center" readingOrder="0"/>
    </xf>
    <xf borderId="0" fillId="0" fontId="16" numFmtId="0" xfId="0" applyAlignment="1" applyFont="1">
      <alignment horizontal="left" readingOrder="0"/>
    </xf>
    <xf borderId="0" fillId="4" fontId="16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1"/>
    </xf>
    <xf borderId="0" fillId="0" fontId="16" numFmtId="0" xfId="0" applyAlignment="1" applyFont="1">
      <alignment horizontal="left" readingOrder="0"/>
    </xf>
    <xf borderId="2" fillId="12" fontId="33" numFmtId="0" xfId="0" applyAlignment="1" applyBorder="1" applyFill="1" applyFont="1">
      <alignment readingOrder="0"/>
    </xf>
    <xf borderId="3" fillId="0" fontId="34" numFmtId="0" xfId="0" applyBorder="1" applyFont="1"/>
    <xf borderId="4" fillId="0" fontId="34" numFmtId="0" xfId="0" applyBorder="1" applyFont="1"/>
    <xf borderId="5" fillId="0" fontId="7" numFmtId="0" xfId="0" applyAlignment="1" applyBorder="1" applyFont="1">
      <alignment readingOrder="0"/>
    </xf>
    <xf borderId="6" fillId="0" fontId="34" numFmtId="0" xfId="0" applyBorder="1" applyFont="1"/>
    <xf borderId="7" fillId="0" fontId="7" numFmtId="0" xfId="0" applyAlignment="1" applyBorder="1" applyFont="1">
      <alignment readingOrder="0"/>
    </xf>
    <xf borderId="8" fillId="0" fontId="34" numFmtId="0" xfId="0" applyBorder="1" applyFont="1"/>
    <xf borderId="9" fillId="0" fontId="34" numFmtId="0" xfId="0" applyBorder="1" applyFont="1"/>
    <xf borderId="2" fillId="12" fontId="13" numFmtId="0" xfId="0" applyAlignment="1" applyBorder="1" applyFont="1">
      <alignment horizontal="center" readingOrder="0"/>
    </xf>
    <xf borderId="3" fillId="12" fontId="13" numFmtId="0" xfId="0" applyAlignment="1" applyBorder="1" applyFont="1">
      <alignment horizontal="center" readingOrder="0"/>
    </xf>
    <xf borderId="4" fillId="12" fontId="13" numFmtId="0" xfId="0" applyAlignment="1" applyBorder="1" applyFont="1">
      <alignment horizontal="center" readingOrder="0"/>
    </xf>
    <xf borderId="5" fillId="0" fontId="35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readingOrder="0" shrinkToFit="0" wrapText="1"/>
    </xf>
    <xf borderId="6" fillId="0" fontId="16" numFmtId="0" xfId="0" applyAlignment="1" applyBorder="1" applyFont="1">
      <alignment horizontal="center" readingOrder="0"/>
    </xf>
    <xf borderId="7" fillId="0" fontId="36" numFmtId="0" xfId="0" applyAlignment="1" applyBorder="1" applyFont="1">
      <alignment horizontal="center" readingOrder="0" shrinkToFit="0" wrapText="1"/>
    </xf>
    <xf borderId="8" fillId="0" fontId="10" numFmtId="0" xfId="0" applyAlignment="1" applyBorder="1" applyFont="1">
      <alignment readingOrder="0" shrinkToFit="0" wrapText="1"/>
    </xf>
    <xf borderId="8" fillId="0" fontId="16" numFmtId="0" xfId="0" applyAlignment="1" applyBorder="1" applyFont="1">
      <alignment horizontal="center" readingOrder="0"/>
    </xf>
    <xf borderId="9" fillId="0" fontId="16" numFmtId="0" xfId="0" applyAlignment="1" applyBorder="1" applyFont="1">
      <alignment horizontal="center" readingOrder="0"/>
    </xf>
    <xf borderId="2" fillId="12" fontId="13" numFmtId="0" xfId="0" applyAlignment="1" applyBorder="1" applyFont="1">
      <alignment horizontal="center" readingOrder="0" vertical="center"/>
    </xf>
    <xf borderId="3" fillId="12" fontId="37" numFmtId="0" xfId="0" applyAlignment="1" applyBorder="1" applyFont="1">
      <alignment horizontal="center" readingOrder="0" vertical="center"/>
    </xf>
    <xf borderId="4" fillId="12" fontId="37" numFmtId="0" xfId="0" applyAlignment="1" applyBorder="1" applyFont="1">
      <alignment horizontal="center" readingOrder="0" vertical="center"/>
    </xf>
    <xf borderId="5" fillId="0" fontId="16" numFmtId="0" xfId="0" applyAlignment="1" applyBorder="1" applyFont="1">
      <alignment horizontal="left" readingOrder="0" vertical="center"/>
    </xf>
    <xf borderId="0" fillId="0" fontId="7" numFmtId="0" xfId="0" applyAlignment="1" applyFont="1">
      <alignment readingOrder="0" vertical="center"/>
    </xf>
    <xf borderId="6" fillId="0" fontId="7" numFmtId="0" xfId="0" applyAlignment="1" applyBorder="1" applyFont="1">
      <alignment vertical="center"/>
    </xf>
    <xf borderId="6" fillId="0" fontId="7" numFmtId="0" xfId="0" applyAlignment="1" applyBorder="1" applyFont="1">
      <alignment readingOrder="0" vertical="center"/>
    </xf>
    <xf borderId="7" fillId="0" fontId="16" numFmtId="0" xfId="0" applyAlignment="1" applyBorder="1" applyFont="1">
      <alignment horizontal="left" readingOrder="0" vertical="center"/>
    </xf>
    <xf borderId="8" fillId="0" fontId="7" numFmtId="0" xfId="0" applyAlignment="1" applyBorder="1" applyFont="1">
      <alignment readingOrder="0" vertical="center"/>
    </xf>
    <xf borderId="9" fillId="0" fontId="7" numFmtId="0" xfId="0" applyAlignment="1" applyBorder="1" applyFont="1">
      <alignment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D5D8E"/>
          <bgColor rgb="FF3D5D8E"/>
        </patternFill>
      </fill>
      <border/>
    </dxf>
    <dxf>
      <font/>
      <fill>
        <patternFill patternType="solid">
          <fgColor rgb="FFF7F7FF"/>
          <bgColor rgb="FFF7F7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1">
    <tableStyle count="3" pivot="0" name="Pending Approval Tools-style">
      <tableStyleElement dxfId="1" type="headerRow"/>
      <tableStyleElement dxfId="2" type="firstRowStripe"/>
      <tableStyleElement dxfId="3" type="secondRowStripe"/>
    </tableStyle>
    <tableStyle count="2" pivot="0" name="Solutions-style">
      <tableStyleElement dxfId="3" type="firstRowStripe"/>
      <tableStyleElement dxfId="4" type="secondRowStripe"/>
    </tableStyle>
    <tableStyle count="3" pivot="0" name="Solutions-style 2">
      <tableStyleElement dxfId="5" type="headerRow"/>
      <tableStyleElement dxfId="3" type="firstRowStripe"/>
      <tableStyleElement dxfId="6" type="secondRowStripe"/>
    </tableStyle>
    <tableStyle count="2" pivot="0" name="Solutions-style 3">
      <tableStyleElement dxfId="3" type="firstRowStripe"/>
      <tableStyleElement dxfId="4" type="secondRowStripe"/>
    </tableStyle>
    <tableStyle count="2" pivot="0" name="Solutions-style 4">
      <tableStyleElement dxfId="3" type="firstRowStripe"/>
      <tableStyleElement dxfId="4" type="secondRowStripe"/>
    </tableStyle>
    <tableStyle count="2" pivot="0" name="Solutions-style 5">
      <tableStyleElement dxfId="3" type="firstRowStripe"/>
      <tableStyleElement dxfId="4" type="secondRowStripe"/>
    </tableStyle>
    <tableStyle count="2" pivot="0" name="Solutions-style 6">
      <tableStyleElement dxfId="3" type="firstRowStripe"/>
      <tableStyleElement dxfId="4" type="secondRowStripe"/>
    </tableStyle>
    <tableStyle count="2" pivot="0" name="Solutions-style 7">
      <tableStyleElement dxfId="3" type="firstRowStripe"/>
      <tableStyleElement dxfId="4" type="secondRowStripe"/>
    </tableStyle>
    <tableStyle count="2" pivot="0" name="Solutions-style 8">
      <tableStyleElement dxfId="3" type="firstRowStripe"/>
      <tableStyleElement dxfId="4" type="secondRowStripe"/>
    </tableStyle>
    <tableStyle count="2" pivot="0" name="Solutions-style 9">
      <tableStyleElement dxfId="3" type="firstRowStripe"/>
      <tableStyleElement dxfId="4" type="secondRowStripe"/>
    </tableStyle>
    <tableStyle count="2" pivot="0" name="Solutions-style 10">
      <tableStyleElement dxfId="3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45" displayName="Table_1" name="Table_1" id="1">
  <tableColumns count="15">
    <tableColumn name="Tool URL" id="1"/>
    <tableColumn name="Title" id="2"/>
    <tableColumn name="Short Title" id="3"/>
    <tableColumn name="Short Title For Search Results" id="4"/>
    <tableColumn name="Status" id="5"/>
    <tableColumn name="Price/Monthly Price" id="6"/>
    <tableColumn name="Annual Price" id="7"/>
    <tableColumn name="Commitment Price" id="8"/>
    <tableColumn name="Subscription Type" id="9"/>
    <tableColumn name="Starts From Type" id="10"/>
    <tableColumn name="Tools Category" id="11"/>
    <tableColumn name="Price Unit" id="12"/>
    <tableColumn name="Tool Type" id="13"/>
    <tableColumn name="Implementation Type" id="14"/>
    <tableColumn name="Delivery Time Description" id="15"/>
  </tableColumns>
  <tableStyleInfo name="Pending Approval Tools-style" showColumnStripes="0" showFirstColumn="1" showLastColumn="1" showRowStripes="1"/>
</table>
</file>

<file path=xl/tables/table2.xml><?xml version="1.0" encoding="utf-8"?>
<table xmlns="http://schemas.openxmlformats.org/spreadsheetml/2006/main" headerRowCount="0" ref="A3:F29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olutions-style" showColumnStripes="0" showFirstColumn="1" showLastColumn="1" showRowStripes="1"/>
</table>
</file>

<file path=xl/tables/table3.xml><?xml version="1.0" encoding="utf-8"?>
<table xmlns="http://schemas.openxmlformats.org/spreadsheetml/2006/main" ref="H4:H12" displayName="Table_3" name="Table_3" id="3">
  <tableColumns count="1">
    <tableColumn name="Solutions — 8 Hub Categories" id="1"/>
  </tableColumns>
  <tableStyleInfo name="Solutions-style 2" showColumnStripes="0" showFirstColumn="1" showLastColumn="1" showRowStripes="1"/>
</table>
</file>

<file path=xl/tables/table4.xml><?xml version="1.0" encoding="utf-8"?>
<table xmlns="http://schemas.openxmlformats.org/spreadsheetml/2006/main" headerRowCount="0" ref="A34:F41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olutions-style 3" showColumnStripes="0" showFirstColumn="1" showLastColumn="1" showRowStripes="1"/>
</table>
</file>

<file path=xl/tables/table5.xml><?xml version="1.0" encoding="utf-8"?>
<table xmlns="http://schemas.openxmlformats.org/spreadsheetml/2006/main" headerRowCount="0" ref="A46:F61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olutions-style 4" showColumnStripes="0" showFirstColumn="1" showLastColumn="1" showRowStripes="1"/>
</table>
</file>

<file path=xl/tables/table6.xml><?xml version="1.0" encoding="utf-8"?>
<table xmlns="http://schemas.openxmlformats.org/spreadsheetml/2006/main" headerRowCount="0" ref="A65:F69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olutions-style 5" showColumnStripes="0" showFirstColumn="1" showLastColumn="1" showRowStripes="1"/>
</table>
</file>

<file path=xl/tables/table7.xml><?xml version="1.0" encoding="utf-8"?>
<table xmlns="http://schemas.openxmlformats.org/spreadsheetml/2006/main" headerRowCount="0" ref="A74:F90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olutions-style 6" showColumnStripes="0" showFirstColumn="1" showLastColumn="1" showRowStripes="1"/>
</table>
</file>

<file path=xl/tables/table8.xml><?xml version="1.0" encoding="utf-8"?>
<table xmlns="http://schemas.openxmlformats.org/spreadsheetml/2006/main" headerRowCount="0" ref="A95:F109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olutions-style 7" showColumnStripes="0" showFirstColumn="1" showLastColumn="1" showRowStripes="1"/>
</table>
</file>

<file path=xl/tables/table9.xml><?xml version="1.0" encoding="utf-8"?>
<table xmlns="http://schemas.openxmlformats.org/spreadsheetml/2006/main" headerRowCount="0" ref="A113:F128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olutions-style 8" showColumnStripes="0" showFirstColumn="1" showLastColumn="1" showRowStripes="1"/>
</table>
</file>

<file path=xl/tables/table10.xml><?xml version="1.0" encoding="utf-8"?>
<table xmlns="http://schemas.openxmlformats.org/spreadsheetml/2006/main" headerRowCount="0" ref="A133:F138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olutions-style 9" showColumnStripes="0" showFirstColumn="1" showLastColumn="1" showRowStripes="1"/>
</table>
</file>

<file path=xl/tables/table11.xml><?xml version="1.0" encoding="utf-8"?>
<table xmlns="http://schemas.openxmlformats.org/spreadsheetml/2006/main" headerRowCount="0" ref="A144:G148" displayName="Table_11" name="Table_11" id="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olutions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dgrowthsuite.com/tools/custom-signup-or-checkout-page" TargetMode="External"/><Relationship Id="rId20" Type="http://schemas.openxmlformats.org/officeDocument/2006/relationships/hyperlink" Target="https://bdgrowthsuite.com/tools/enhanced-member-card-elements-in-search-results" TargetMode="External"/><Relationship Id="rId42" Type="http://schemas.openxmlformats.org/officeDocument/2006/relationships/hyperlink" Target="https://bdgrowthsuite.com/tools/introduction-video-for-member-profiles" TargetMode="External"/><Relationship Id="rId41" Type="http://schemas.openxmlformats.org/officeDocument/2006/relationships/hyperlink" Target="https://bdgrowthsuite.com/tools/how-to-edit-existing-tabs-on-member-profile-pages" TargetMode="External"/><Relationship Id="rId22" Type="http://schemas.openxmlformats.org/officeDocument/2006/relationships/hyperlink" Target="https://bdgrowthsuite.com/tools/custom-how-it-works-page-development" TargetMode="External"/><Relationship Id="rId44" Type="http://schemas.openxmlformats.org/officeDocument/2006/relationships/hyperlink" Target="https://bdgrowthsuite.com/tools/faq-management-plugin" TargetMode="External"/><Relationship Id="rId21" Type="http://schemas.openxmlformats.org/officeDocument/2006/relationships/hyperlink" Target="https://bdgrowthsuite.com/tools/custom-join-page-development" TargetMode="External"/><Relationship Id="rId43" Type="http://schemas.openxmlformats.org/officeDocument/2006/relationships/hyperlink" Target="https://bdgrowthsuite.com/tools/photo-gallery-for-members" TargetMode="External"/><Relationship Id="rId24" Type="http://schemas.openxmlformats.org/officeDocument/2006/relationships/hyperlink" Target="https://bdgrowthsuite.com/tools/calendly-integration-for-members-profile-page" TargetMode="External"/><Relationship Id="rId46" Type="http://schemas.openxmlformats.org/officeDocument/2006/relationships/hyperlink" Target="https://bdgrowthsuite.com/tools/job-schema-for-job-detail-page" TargetMode="External"/><Relationship Id="rId23" Type="http://schemas.openxmlformats.org/officeDocument/2006/relationships/hyperlink" Target="https://bdgrowthsuite.com/tools/custom-page-development-as-per-your-idea" TargetMode="External"/><Relationship Id="rId45" Type="http://schemas.openxmlformats.org/officeDocument/2006/relationships/hyperlink" Target="https://bdgrowthsuite.com/tools/constant-contact-integration-for-member-signup" TargetMode="External"/><Relationship Id="rId1" Type="http://schemas.openxmlformats.org/officeDocument/2006/relationships/hyperlink" Target="https://bdgrowthsuite.com/tools/mailchimp-integration-for-newsletter-subscribers" TargetMode="External"/><Relationship Id="rId2" Type="http://schemas.openxmlformats.org/officeDocument/2006/relationships/hyperlink" Target="https://bdgrowthsuite.com/tools/custom-search-filters-for-directory-websites" TargetMode="External"/><Relationship Id="rId3" Type="http://schemas.openxmlformats.org/officeDocument/2006/relationships/hyperlink" Target="https://bdgrowthsuite.com/tools/custom-tabs-on-member-profile-pages" TargetMode="External"/><Relationship Id="rId4" Type="http://schemas.openxmlformats.org/officeDocument/2006/relationships/hyperlink" Target="https://bdgrowthsuite.com/tools/add-social-icons-to-footer-%E2%80%93-brilliant-directories" TargetMode="External"/><Relationship Id="rId9" Type="http://schemas.openxmlformats.org/officeDocument/2006/relationships/hyperlink" Target="https://bdgrowthsuite.com/tools/schema-for-home-page" TargetMode="External"/><Relationship Id="rId26" Type="http://schemas.openxmlformats.org/officeDocument/2006/relationships/hyperlink" Target="https://bdgrowthsuite.com/tools/quick-directory-review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bdgrowthsuite.com/tools/search-results-sidebar-call-to-actions" TargetMode="External"/><Relationship Id="rId47" Type="http://schemas.openxmlformats.org/officeDocument/2006/relationships/hyperlink" Target="https://bdgrowthsuite.com/tools/blog-schema-for-blogs-results-page" TargetMode="External"/><Relationship Id="rId28" Type="http://schemas.openxmlformats.org/officeDocument/2006/relationships/hyperlink" Target="https://bdgrowthsuite.com/tools/latest-reviews-on-search-results" TargetMode="External"/><Relationship Id="rId27" Type="http://schemas.openxmlformats.org/officeDocument/2006/relationships/hyperlink" Target="https://bdgrowthsuite.com/tools/advanced-directory-review" TargetMode="External"/><Relationship Id="rId5" Type="http://schemas.openxmlformats.org/officeDocument/2006/relationships/hyperlink" Target="https://bdgrowthsuite.com/tools/add-mobile-app-download-icons-to-footer" TargetMode="External"/><Relationship Id="rId6" Type="http://schemas.openxmlformats.org/officeDocument/2006/relationships/hyperlink" Target="https://bdgrowthsuite.com/tools/add-images-to-footer" TargetMode="External"/><Relationship Id="rId29" Type="http://schemas.openxmlformats.org/officeDocument/2006/relationships/hyperlink" Target="https://bdgrowthsuite.com/tools/table-of-contents-or-index-for-articles" TargetMode="External"/><Relationship Id="rId7" Type="http://schemas.openxmlformats.org/officeDocument/2006/relationships/hyperlink" Target="https://bdgrowthsuite.com/tools/banner-ads-on-header-and-footer" TargetMode="External"/><Relationship Id="rId8" Type="http://schemas.openxmlformats.org/officeDocument/2006/relationships/hyperlink" Target="https://bdgrowthsuite.com/tools/social-media-icons-in-header" TargetMode="External"/><Relationship Id="rId31" Type="http://schemas.openxmlformats.org/officeDocument/2006/relationships/hyperlink" Target="https://bdgrowthsuite.com/tools/edit-post-urls-for-brilliant-directories" TargetMode="External"/><Relationship Id="rId30" Type="http://schemas.openxmlformats.org/officeDocument/2006/relationships/hyperlink" Target="https://bdgrowthsuite.com/tools/elevator-pitch-manager-for-blog-articles" TargetMode="External"/><Relationship Id="rId11" Type="http://schemas.openxmlformats.org/officeDocument/2006/relationships/hyperlink" Target="https://bdgrowthsuite.com/tools/event-schema-for-event-detail-pages" TargetMode="External"/><Relationship Id="rId33" Type="http://schemas.openxmlformats.org/officeDocument/2006/relationships/hyperlink" Target="https://bdgrowthsuite.com/tools/lead-gen-on-search-results-page" TargetMode="External"/><Relationship Id="rId10" Type="http://schemas.openxmlformats.org/officeDocument/2006/relationships/hyperlink" Target="https://bdgrowthsuite.com/tools/schema-for-members-profile-detail-page" TargetMode="External"/><Relationship Id="rId32" Type="http://schemas.openxmlformats.org/officeDocument/2006/relationships/hyperlink" Target="https://bdgrowthsuite.com/tools/lead-gen-on-no-search-results-page" TargetMode="External"/><Relationship Id="rId13" Type="http://schemas.openxmlformats.org/officeDocument/2006/relationships/hyperlink" Target="https://bdgrowthsuite.com/tools/essential-seo-audit" TargetMode="External"/><Relationship Id="rId35" Type="http://schemas.openxmlformats.org/officeDocument/2006/relationships/hyperlink" Target="https://bdgrowthsuite.com/tools/additional-fields-on-contact-detail-page" TargetMode="External"/><Relationship Id="rId12" Type="http://schemas.openxmlformats.org/officeDocument/2006/relationships/hyperlink" Target="https://bdgrowthsuite.com/tools/job-schema-for-jobs-results-page" TargetMode="External"/><Relationship Id="rId34" Type="http://schemas.openxmlformats.org/officeDocument/2006/relationships/hyperlink" Target="https://bdgrowthsuite.com/tools/member-profile-tabs-edits" TargetMode="External"/><Relationship Id="rId15" Type="http://schemas.openxmlformats.org/officeDocument/2006/relationships/hyperlink" Target="https://bdgrowthsuite.com/tools/tawk-to-implementation-for-live-chat" TargetMode="External"/><Relationship Id="rId37" Type="http://schemas.openxmlformats.org/officeDocument/2006/relationships/hyperlink" Target="https://bdgrowthsuite.com/tools/business-highlights-for-member-profiles" TargetMode="External"/><Relationship Id="rId14" Type="http://schemas.openxmlformats.org/officeDocument/2006/relationships/hyperlink" Target="https://bdgrowthsuite.com/tools/strategic-seo-audit-advanced" TargetMode="External"/><Relationship Id="rId36" Type="http://schemas.openxmlformats.org/officeDocument/2006/relationships/hyperlink" Target="https://bdgrowthsuite.com/tools/custom-landing-page-design-for-brilliant-directories-websites" TargetMode="External"/><Relationship Id="rId17" Type="http://schemas.openxmlformats.org/officeDocument/2006/relationships/hyperlink" Target="https://bdgrowthsuite.com/tools/zoho-crm-integration-for-members-signup" TargetMode="External"/><Relationship Id="rId39" Type="http://schemas.openxmlformats.org/officeDocument/2006/relationships/hyperlink" Target="https://bdgrowthsuite.com/tools/custom-member-profile-detail-page-design-for-brilliant-directories" TargetMode="External"/><Relationship Id="rId16" Type="http://schemas.openxmlformats.org/officeDocument/2006/relationships/hyperlink" Target="https://bdgrowthsuite.com/tools/intercom-live-chat-for-brilliant-directories" TargetMode="External"/><Relationship Id="rId38" Type="http://schemas.openxmlformats.org/officeDocument/2006/relationships/hyperlink" Target="https://bdgrowthsuite.com/tools/complete-business-hours-for-brilliant-directories" TargetMode="External"/><Relationship Id="rId19" Type="http://schemas.openxmlformats.org/officeDocument/2006/relationships/hyperlink" Target="https://bdgrowthsuite.com/tools/search-results-buttons" TargetMode="External"/><Relationship Id="rId18" Type="http://schemas.openxmlformats.org/officeDocument/2006/relationships/hyperlink" Target="https://bdgrowthsuite.com/tools/custom-crm-for-brilliant-directorie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bdgrowthsuite.com/tools/how-to-edit-existing-tabs-on-member-profile-pages" TargetMode="External"/><Relationship Id="rId42" Type="http://schemas.openxmlformats.org/officeDocument/2006/relationships/hyperlink" Target="https://bdgrowthsuite.com/tools/photo-gallery-for-members" TargetMode="External"/><Relationship Id="rId41" Type="http://schemas.openxmlformats.org/officeDocument/2006/relationships/hyperlink" Target="https://bdgrowthsuite.com/tools/introduction-video-for-member-profiles" TargetMode="External"/><Relationship Id="rId44" Type="http://schemas.openxmlformats.org/officeDocument/2006/relationships/hyperlink" Target="https://bdgrowthsuite.com/tools/ui-ux-page-design-member-profile-detail-page" TargetMode="External"/><Relationship Id="rId43" Type="http://schemas.openxmlformats.org/officeDocument/2006/relationships/hyperlink" Target="https://bdgrowthsuite.com/tools/how-to-enhance-member-profile-page-on-directory" TargetMode="External"/><Relationship Id="rId46" Type="http://schemas.openxmlformats.org/officeDocument/2006/relationships/hyperlink" Target="https://bdgrowthsuite.com/tools/additional-fields-on-listing-details-page" TargetMode="External"/><Relationship Id="rId45" Type="http://schemas.openxmlformats.org/officeDocument/2006/relationships/hyperlink" Target="https://bdgrowthsuite.com/tools/feature-member-s-on-other-member-profile" TargetMode="External"/><Relationship Id="rId107" Type="http://schemas.openxmlformats.org/officeDocument/2006/relationships/hyperlink" Target="https://bdgrowthsuite.com/tools/video-how-to-create-your-business-listing-on-the-directory" TargetMode="External"/><Relationship Id="rId106" Type="http://schemas.openxmlformats.org/officeDocument/2006/relationships/hyperlink" Target="https://bdgrowthsuite.com/tools/step-by-step-article-how-to-create-your-business-listing-on-the-directory" TargetMode="External"/><Relationship Id="rId105" Type="http://schemas.openxmlformats.org/officeDocument/2006/relationships/hyperlink" Target="https://bdgrowthsuite.com/tools/chatbot-development-and-setup" TargetMode="External"/><Relationship Id="rId104" Type="http://schemas.openxmlformats.org/officeDocument/2006/relationships/hyperlink" Target="https://bdgrowthsuite.com/tools/phpbb-forum-setup-and-installation" TargetMode="External"/><Relationship Id="rId109" Type="http://schemas.openxmlformats.org/officeDocument/2006/relationships/hyperlink" Target="https://bdgrowthsuite.com/tools/outreach-support-advanced-level" TargetMode="External"/><Relationship Id="rId108" Type="http://schemas.openxmlformats.org/officeDocument/2006/relationships/hyperlink" Target="https://bdgrowthsuite.com/tools/outreach-support-basic-level" TargetMode="External"/><Relationship Id="rId48" Type="http://schemas.openxmlformats.org/officeDocument/2006/relationships/hyperlink" Target="https://bdgrowthsuite.com/tools/video-preview-on-member-profiles-%E2%80%93-lifetime-deal" TargetMode="External"/><Relationship Id="rId47" Type="http://schemas.openxmlformats.org/officeDocument/2006/relationships/hyperlink" Target="https://bdgrowthsuite.com/tools/video-preview-on-member-profiles-setup-guide" TargetMode="External"/><Relationship Id="rId49" Type="http://schemas.openxmlformats.org/officeDocument/2006/relationships/hyperlink" Target="https://bdgrowthsuite.com/tools/custom-search-filters-for-directory-websites" TargetMode="External"/><Relationship Id="rId103" Type="http://schemas.openxmlformats.org/officeDocument/2006/relationships/hyperlink" Target="https://bdgrowthsuite.com/tools/members-approval-plugin-for-directory-websites" TargetMode="External"/><Relationship Id="rId102" Type="http://schemas.openxmlformats.org/officeDocument/2006/relationships/hyperlink" Target="https://bdgrowthsuite.com/tools/members-approval-flow" TargetMode="External"/><Relationship Id="rId101" Type="http://schemas.openxmlformats.org/officeDocument/2006/relationships/hyperlink" Target="https://bdgrowthsuite.com/tools/hubspot-integration-for-members-signup" TargetMode="External"/><Relationship Id="rId100" Type="http://schemas.openxmlformats.org/officeDocument/2006/relationships/hyperlink" Target="https://bdgrowthsuite.com/tools/pipedrive-integration-for-members-signup" TargetMode="External"/><Relationship Id="rId31" Type="http://schemas.openxmlformats.org/officeDocument/2006/relationships/hyperlink" Target="https://bdgrowthsuite.com/tools/elevator-pitch-manager-for-blog-articles" TargetMode="External"/><Relationship Id="rId30" Type="http://schemas.openxmlformats.org/officeDocument/2006/relationships/hyperlink" Target="https://bdgrowthsuite.com/tools/search-results-sidebar-call-to-actions" TargetMode="External"/><Relationship Id="rId33" Type="http://schemas.openxmlformats.org/officeDocument/2006/relationships/hyperlink" Target="https://bdgrowthsuite.com/tools/smart-cta-for-no-search-results-pages" TargetMode="External"/><Relationship Id="rId32" Type="http://schemas.openxmlformats.org/officeDocument/2006/relationships/hyperlink" Target="https://bdgrowthsuite.com/tools/faq-page-with-faq-management-plugin" TargetMode="External"/><Relationship Id="rId35" Type="http://schemas.openxmlformats.org/officeDocument/2006/relationships/hyperlink" Target="https://bdgrowthsuite.com/tools/member-profile-tabs-edits" TargetMode="External"/><Relationship Id="rId34" Type="http://schemas.openxmlformats.org/officeDocument/2006/relationships/hyperlink" Target="https://bdgrowthsuite.com/tools/custom-tabs-on-member-profile-pages" TargetMode="External"/><Relationship Id="rId37" Type="http://schemas.openxmlformats.org/officeDocument/2006/relationships/hyperlink" Target="https://bdgrowthsuite.com/tools/business-highlights-for-member-profiles" TargetMode="External"/><Relationship Id="rId36" Type="http://schemas.openxmlformats.org/officeDocument/2006/relationships/hyperlink" Target="https://bdgrowthsuite.com/tools/additional-fields-on-contact-detail-page" TargetMode="External"/><Relationship Id="rId39" Type="http://schemas.openxmlformats.org/officeDocument/2006/relationships/hyperlink" Target="https://bdgrowthsuite.com/tools/custom-member-profile-detail-page-design-for-brilliant-directories" TargetMode="External"/><Relationship Id="rId38" Type="http://schemas.openxmlformats.org/officeDocument/2006/relationships/hyperlink" Target="https://bdgrowthsuite.com/tools/complete-business-hours-for-brilliant-directories" TargetMode="External"/><Relationship Id="rId20" Type="http://schemas.openxmlformats.org/officeDocument/2006/relationships/hyperlink" Target="https://bdgrowthsuite.com/tools/custom-sitemap-for-jobs-results-pages" TargetMode="External"/><Relationship Id="rId22" Type="http://schemas.openxmlformats.org/officeDocument/2006/relationships/hyperlink" Target="https://bdgrowthsuite.com/tools/foundational-seo-for-your-bd-website" TargetMode="External"/><Relationship Id="rId21" Type="http://schemas.openxmlformats.org/officeDocument/2006/relationships/hyperlink" Target="https://bdgrowthsuite.com/tools/seo-consulting-call-for-your-brilliant-directories-website" TargetMode="External"/><Relationship Id="rId24" Type="http://schemas.openxmlformats.org/officeDocument/2006/relationships/hyperlink" Target="https://bdgrowthsuite.com/tools/property-schema-for-property-detail-page" TargetMode="External"/><Relationship Id="rId23" Type="http://schemas.openxmlformats.org/officeDocument/2006/relationships/hyperlink" Target="https://bdgrowthsuite.com/tools/property-schema-for-properties-results-page" TargetMode="External"/><Relationship Id="rId129" Type="http://schemas.openxmlformats.org/officeDocument/2006/relationships/table" Target="../tables/table8.xml"/><Relationship Id="rId128" Type="http://schemas.openxmlformats.org/officeDocument/2006/relationships/table" Target="../tables/table7.xml"/><Relationship Id="rId127" Type="http://schemas.openxmlformats.org/officeDocument/2006/relationships/table" Target="../tables/table6.xml"/><Relationship Id="rId126" Type="http://schemas.openxmlformats.org/officeDocument/2006/relationships/table" Target="../tables/table5.xml"/><Relationship Id="rId26" Type="http://schemas.openxmlformats.org/officeDocument/2006/relationships/hyperlink" Target="https://bdgrowthsuite.com/tools/product-schema-for-products-results-page" TargetMode="External"/><Relationship Id="rId25" Type="http://schemas.openxmlformats.org/officeDocument/2006/relationships/hyperlink" Target="https://bdgrowthsuite.com/tools/product-schema-for-product-detail-page" TargetMode="External"/><Relationship Id="rId28" Type="http://schemas.openxmlformats.org/officeDocument/2006/relationships/hyperlink" Target="https://bdgrowthsuite.com/tools/lead-gen-on-no-search-results-page" TargetMode="External"/><Relationship Id="rId27" Type="http://schemas.openxmlformats.org/officeDocument/2006/relationships/hyperlink" Target="https://bdgrowthsuite.com/tools/blog-schema-for-blog-detail-page" TargetMode="External"/><Relationship Id="rId125" Type="http://schemas.openxmlformats.org/officeDocument/2006/relationships/table" Target="../tables/table4.xml"/><Relationship Id="rId29" Type="http://schemas.openxmlformats.org/officeDocument/2006/relationships/hyperlink" Target="https://bdgrowthsuite.com/tools/lead-gen-on-search-results-page" TargetMode="External"/><Relationship Id="rId124" Type="http://schemas.openxmlformats.org/officeDocument/2006/relationships/table" Target="../tables/table3.xml"/><Relationship Id="rId123" Type="http://schemas.openxmlformats.org/officeDocument/2006/relationships/table" Target="../tables/table2.xml"/><Relationship Id="rId95" Type="http://schemas.openxmlformats.org/officeDocument/2006/relationships/hyperlink" Target="https://bdgrowthsuite.com/tools/meta-pixel-integration" TargetMode="External"/><Relationship Id="rId94" Type="http://schemas.openxmlformats.org/officeDocument/2006/relationships/hyperlink" Target="https://bdgrowthsuite.com/tools/google-analytics-integration-for-directory-sites" TargetMode="External"/><Relationship Id="rId97" Type="http://schemas.openxmlformats.org/officeDocument/2006/relationships/hyperlink" Target="https://bdgrowthsuite.com/tools/chatbot-integration" TargetMode="External"/><Relationship Id="rId96" Type="http://schemas.openxmlformats.org/officeDocument/2006/relationships/hyperlink" Target="https://bdgrowthsuite.com/tools/how-to-add-google-reviews-to-member-profiles" TargetMode="External"/><Relationship Id="rId11" Type="http://schemas.openxmlformats.org/officeDocument/2006/relationships/hyperlink" Target="https://bdgrowthsuite.com/tools/schema-for-events-search-results-page" TargetMode="External"/><Relationship Id="rId99" Type="http://schemas.openxmlformats.org/officeDocument/2006/relationships/hyperlink" Target="https://bdgrowthsuite.com/tools/bitrix24-integration-for-members-signup" TargetMode="External"/><Relationship Id="rId10" Type="http://schemas.openxmlformats.org/officeDocument/2006/relationships/hyperlink" Target="https://bdgrowthsuite.com/tools/schema-for-category-search-results-page" TargetMode="External"/><Relationship Id="rId98" Type="http://schemas.openxmlformats.org/officeDocument/2006/relationships/hyperlink" Target="https://bdgrowthsuite.com/tools/sendinblue-s-tracking-integration" TargetMode="External"/><Relationship Id="rId13" Type="http://schemas.openxmlformats.org/officeDocument/2006/relationships/hyperlink" Target="https://bdgrowthsuite.com/tools/custom-sitemap-of-member-profile-pages" TargetMode="External"/><Relationship Id="rId12" Type="http://schemas.openxmlformats.org/officeDocument/2006/relationships/hyperlink" Target="https://bdgrowthsuite.com/tools/add-job-schema-to-brilliant-directories-job-detail-pages" TargetMode="External"/><Relationship Id="rId91" Type="http://schemas.openxmlformats.org/officeDocument/2006/relationships/hyperlink" Target="https://bdgrowthsuite.com/tools/calendly-integration-for-members-profile-page" TargetMode="External"/><Relationship Id="rId90" Type="http://schemas.openxmlformats.org/officeDocument/2006/relationships/hyperlink" Target="https://bdgrowthsuite.com/tools/custom-crm-for-brilliant-directories" TargetMode="External"/><Relationship Id="rId93" Type="http://schemas.openxmlformats.org/officeDocument/2006/relationships/hyperlink" Target="https://bdgrowthsuite.com/tools/mailchimp-integration-for-member-signup" TargetMode="External"/><Relationship Id="rId92" Type="http://schemas.openxmlformats.org/officeDocument/2006/relationships/hyperlink" Target="https://bdgrowthsuite.com/tools/constant-contact-integration-for-member-signup" TargetMode="External"/><Relationship Id="rId15" Type="http://schemas.openxmlformats.org/officeDocument/2006/relationships/hyperlink" Target="https://bdgrowthsuite.com/tools/custom-sitemap-for-events-results-pages" TargetMode="External"/><Relationship Id="rId110" Type="http://schemas.openxmlformats.org/officeDocument/2006/relationships/hyperlink" Target="https://bdgrowthsuite.com/tools/quick-directory-review" TargetMode="External"/><Relationship Id="rId14" Type="http://schemas.openxmlformats.org/officeDocument/2006/relationships/hyperlink" Target="https://bdgrowthsuite.com/tools/custom-sitemap-for-search-results-pages" TargetMode="External"/><Relationship Id="rId17" Type="http://schemas.openxmlformats.org/officeDocument/2006/relationships/hyperlink" Target="https://bdgrowthsuite.com/tools/custom-sitemap-for-job-listings" TargetMode="External"/><Relationship Id="rId16" Type="http://schemas.openxmlformats.org/officeDocument/2006/relationships/hyperlink" Target="https://bdgrowthsuite.com/tools/custom-sitemap-for-events" TargetMode="External"/><Relationship Id="rId19" Type="http://schemas.openxmlformats.org/officeDocument/2006/relationships/hyperlink" Target="https://bdgrowthsuite.com/tools/custom-sitemap-for-articles" TargetMode="External"/><Relationship Id="rId18" Type="http://schemas.openxmlformats.org/officeDocument/2006/relationships/hyperlink" Target="https://bdgrowthsuite.com/tools/custom-sitemap-for-articles-results-pages" TargetMode="External"/><Relationship Id="rId112" Type="http://schemas.openxmlformats.org/officeDocument/2006/relationships/drawing" Target="../drawings/drawing4.xml"/><Relationship Id="rId111" Type="http://schemas.openxmlformats.org/officeDocument/2006/relationships/hyperlink" Target="https://bdgrowthsuite.com/tools/advanced-directory-review" TargetMode="External"/><Relationship Id="rId84" Type="http://schemas.openxmlformats.org/officeDocument/2006/relationships/hyperlink" Target="https://bdgrowthsuite.com/tools/copywriting-for-landing-page-funnels" TargetMode="External"/><Relationship Id="rId83" Type="http://schemas.openxmlformats.org/officeDocument/2006/relationships/hyperlink" Target="https://bdgrowthsuite.com/tools/blog-post-and-article-writing" TargetMode="External"/><Relationship Id="rId86" Type="http://schemas.openxmlformats.org/officeDocument/2006/relationships/hyperlink" Target="https://bdgrowthsuite.com/tools/mailchimp-integration-for-newsletter-subscribers" TargetMode="External"/><Relationship Id="rId85" Type="http://schemas.openxmlformats.org/officeDocument/2006/relationships/hyperlink" Target="https://bdgrowthsuite.com/tools/copywriting-for-email-funnels" TargetMode="External"/><Relationship Id="rId88" Type="http://schemas.openxmlformats.org/officeDocument/2006/relationships/hyperlink" Target="https://bdgrowthsuite.com/tools/intercom-live-chat-for-brilliant-directories" TargetMode="External"/><Relationship Id="rId87" Type="http://schemas.openxmlformats.org/officeDocument/2006/relationships/hyperlink" Target="https://bdgrowthsuite.com/tools/tawk-to-implementation-for-live-chat" TargetMode="External"/><Relationship Id="rId89" Type="http://schemas.openxmlformats.org/officeDocument/2006/relationships/hyperlink" Target="https://bdgrowthsuite.com/tools/zoho-crm-integration-for-members-signup" TargetMode="External"/><Relationship Id="rId80" Type="http://schemas.openxmlformats.org/officeDocument/2006/relationships/hyperlink" Target="https://bdgrowthsuite.com/tools/copywriting-of-addon-services-of-your-directory" TargetMode="External"/><Relationship Id="rId82" Type="http://schemas.openxmlformats.org/officeDocument/2006/relationships/hyperlink" Target="https://bdgrowthsuite.com/tools/copywriting-of-category-page-s-contents" TargetMode="External"/><Relationship Id="rId81" Type="http://schemas.openxmlformats.org/officeDocument/2006/relationships/hyperlink" Target="https://bdgrowthsuite.com/tools/copywriting-of-home-page" TargetMode="External"/><Relationship Id="rId1" Type="http://schemas.openxmlformats.org/officeDocument/2006/relationships/hyperlink" Target="https://bdgrowthsuite.com/tools/job-schema-for-job-detail-page" TargetMode="External"/><Relationship Id="rId2" Type="http://schemas.openxmlformats.org/officeDocument/2006/relationships/hyperlink" Target="https://bdgrowthsuite.com/tools/blog-schema-for-blogs-results-page" TargetMode="External"/><Relationship Id="rId3" Type="http://schemas.openxmlformats.org/officeDocument/2006/relationships/hyperlink" Target="https://bdgrowthsuite.com/tools/edit-post-urls-for-brilliant-directories" TargetMode="External"/><Relationship Id="rId4" Type="http://schemas.openxmlformats.org/officeDocument/2006/relationships/hyperlink" Target="https://bdgrowthsuite.com/tools/schema-for-home-page" TargetMode="External"/><Relationship Id="rId9" Type="http://schemas.openxmlformats.org/officeDocument/2006/relationships/hyperlink" Target="https://bdgrowthsuite.com/tools/strategic-seo-audit-advanced" TargetMode="External"/><Relationship Id="rId5" Type="http://schemas.openxmlformats.org/officeDocument/2006/relationships/hyperlink" Target="https://bdgrowthsuite.com/tools/schema-for-members-profile-detail-page" TargetMode="External"/><Relationship Id="rId6" Type="http://schemas.openxmlformats.org/officeDocument/2006/relationships/hyperlink" Target="https://bdgrowthsuite.com/tools/event-schema-for-event-detail-pages" TargetMode="External"/><Relationship Id="rId7" Type="http://schemas.openxmlformats.org/officeDocument/2006/relationships/hyperlink" Target="https://bdgrowthsuite.com/tools/job-schema-for-jobs-results-page" TargetMode="External"/><Relationship Id="rId8" Type="http://schemas.openxmlformats.org/officeDocument/2006/relationships/hyperlink" Target="https://bdgrowthsuite.com/tools/essential-seo-audit" TargetMode="External"/><Relationship Id="rId73" Type="http://schemas.openxmlformats.org/officeDocument/2006/relationships/hyperlink" Target="https://bdgrowthsuite.com/tools/search-results-faq-static" TargetMode="External"/><Relationship Id="rId72" Type="http://schemas.openxmlformats.org/officeDocument/2006/relationships/hyperlink" Target="https://bdgrowthsuite.com/tools/faq-management-plugin" TargetMode="External"/><Relationship Id="rId75" Type="http://schemas.openxmlformats.org/officeDocument/2006/relationships/hyperlink" Target="https://bdgrowthsuite.com/tools/related-posts-for-blogs-%E2%80%93-you-may-also-like" TargetMode="External"/><Relationship Id="rId74" Type="http://schemas.openxmlformats.org/officeDocument/2006/relationships/hyperlink" Target="https://bdgrowthsuite.com/tools/static-faq-page-design" TargetMode="External"/><Relationship Id="rId77" Type="http://schemas.openxmlformats.org/officeDocument/2006/relationships/hyperlink" Target="https://bdgrowthsuite.com/tools/copywriting-of-join-page" TargetMode="External"/><Relationship Id="rId76" Type="http://schemas.openxmlformats.org/officeDocument/2006/relationships/hyperlink" Target="https://bdgrowthsuite.com/tools/copywriting-of-about-us-page" TargetMode="External"/><Relationship Id="rId79" Type="http://schemas.openxmlformats.org/officeDocument/2006/relationships/hyperlink" Target="https://bdgrowthsuite.com/tools/copywriting-of-core-services-of-your-directory" TargetMode="External"/><Relationship Id="rId78" Type="http://schemas.openxmlformats.org/officeDocument/2006/relationships/hyperlink" Target="https://bdgrowthsuite.com/tools/search-results-faq-with-faq-management-plugin" TargetMode="External"/><Relationship Id="rId71" Type="http://schemas.openxmlformats.org/officeDocument/2006/relationships/hyperlink" Target="https://bdgrowthsuite.com/tools/table-of-contents-or-index-for-articles" TargetMode="External"/><Relationship Id="rId70" Type="http://schemas.openxmlformats.org/officeDocument/2006/relationships/hyperlink" Target="https://bdgrowthsuite.com/tools/video-or-form-installation" TargetMode="External"/><Relationship Id="rId132" Type="http://schemas.openxmlformats.org/officeDocument/2006/relationships/table" Target="../tables/table11.xml"/><Relationship Id="rId131" Type="http://schemas.openxmlformats.org/officeDocument/2006/relationships/table" Target="../tables/table10.xml"/><Relationship Id="rId130" Type="http://schemas.openxmlformats.org/officeDocument/2006/relationships/table" Target="../tables/table9.xml"/><Relationship Id="rId62" Type="http://schemas.openxmlformats.org/officeDocument/2006/relationships/hyperlink" Target="https://bdgrowthsuite.com/tools/custom-landing-page-design-for-brilliant-directories-websites" TargetMode="External"/><Relationship Id="rId61" Type="http://schemas.openxmlformats.org/officeDocument/2006/relationships/hyperlink" Target="https://bdgrowthsuite.com/tools/custom-page-development-as-per-your-idea" TargetMode="External"/><Relationship Id="rId64" Type="http://schemas.openxmlformats.org/officeDocument/2006/relationships/hyperlink" Target="https://bdgrowthsuite.com/tools/custom-homepage-design" TargetMode="External"/><Relationship Id="rId63" Type="http://schemas.openxmlformats.org/officeDocument/2006/relationships/hyperlink" Target="https://bdgrowthsuite.com/tools/custom-signup-or-checkout-page" TargetMode="External"/><Relationship Id="rId66" Type="http://schemas.openxmlformats.org/officeDocument/2006/relationships/hyperlink" Target="https://bdgrowthsuite.com/tools/ui-ux-page-design-join-page" TargetMode="External"/><Relationship Id="rId65" Type="http://schemas.openxmlformats.org/officeDocument/2006/relationships/hyperlink" Target="https://bdgrowthsuite.com/tools/ui-ux-page-design-home-page" TargetMode="External"/><Relationship Id="rId68" Type="http://schemas.openxmlformats.org/officeDocument/2006/relationships/hyperlink" Target="https://bdgrowthsuite.com/tools/custom-landing-page-design-for-directory-websites" TargetMode="External"/><Relationship Id="rId67" Type="http://schemas.openxmlformats.org/officeDocument/2006/relationships/hyperlink" Target="https://bdgrowthsuite.com/tools/ui-ux-page-design-how-it-works-page" TargetMode="External"/><Relationship Id="rId60" Type="http://schemas.openxmlformats.org/officeDocument/2006/relationships/hyperlink" Target="https://bdgrowthsuite.com/tools/custom-how-it-works-page-development" TargetMode="External"/><Relationship Id="rId69" Type="http://schemas.openxmlformats.org/officeDocument/2006/relationships/hyperlink" Target="https://bdgrowthsuite.com/tools/floating-social-media-icons-for-directory-websites" TargetMode="External"/><Relationship Id="rId51" Type="http://schemas.openxmlformats.org/officeDocument/2006/relationships/hyperlink" Target="https://bdgrowthsuite.com/tools/enhanced-member-card-elements-in-search-results" TargetMode="External"/><Relationship Id="rId50" Type="http://schemas.openxmlformats.org/officeDocument/2006/relationships/hyperlink" Target="https://bdgrowthsuite.com/tools/search-results-buttons" TargetMode="External"/><Relationship Id="rId53" Type="http://schemas.openxmlformats.org/officeDocument/2006/relationships/hyperlink" Target="https://bdgrowthsuite.com/tools/custom-badge-display-on-search-results-page" TargetMode="External"/><Relationship Id="rId52" Type="http://schemas.openxmlformats.org/officeDocument/2006/relationships/hyperlink" Target="https://bdgrowthsuite.com/tools/latest-reviews-on-search-results" TargetMode="External"/><Relationship Id="rId55" Type="http://schemas.openxmlformats.org/officeDocument/2006/relationships/hyperlink" Target="https://bdgrowthsuite.com/tools/add-mobile-app-download-icons-to-footer" TargetMode="External"/><Relationship Id="rId54" Type="http://schemas.openxmlformats.org/officeDocument/2006/relationships/hyperlink" Target="https://bdgrowthsuite.com/tools/add-social-icons-to-footer-%E2%80%93-brilliant-directories" TargetMode="External"/><Relationship Id="rId57" Type="http://schemas.openxmlformats.org/officeDocument/2006/relationships/hyperlink" Target="https://bdgrowthsuite.com/tools/banner-ads-on-header-and-footer" TargetMode="External"/><Relationship Id="rId56" Type="http://schemas.openxmlformats.org/officeDocument/2006/relationships/hyperlink" Target="https://bdgrowthsuite.com/tools/add-images-to-footer" TargetMode="External"/><Relationship Id="rId59" Type="http://schemas.openxmlformats.org/officeDocument/2006/relationships/hyperlink" Target="https://bdgrowthsuite.com/tools/custom-join-page-development" TargetMode="External"/><Relationship Id="rId58" Type="http://schemas.openxmlformats.org/officeDocument/2006/relationships/hyperlink" Target="https://bdgrowthsuite.com/tools/social-media-icons-in-header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13"/>
    <col customWidth="1" min="2" max="2" width="38.25"/>
    <col customWidth="1" min="3" max="3" width="21.38"/>
    <col customWidth="1" min="4" max="4" width="24.25"/>
    <col customWidth="1" min="5" max="5" width="28.25"/>
    <col customWidth="1" min="6" max="6" width="13.38"/>
    <col customWidth="1" min="7" max="7" width="15.13"/>
    <col customWidth="1" min="8" max="8" width="9.25"/>
    <col customWidth="1" min="9" max="9" width="13.63"/>
    <col customWidth="1" min="10" max="10" width="13.38"/>
    <col customWidth="1" min="11" max="11" width="12.88"/>
    <col customWidth="1" min="12" max="12" width="26.88"/>
    <col customWidth="1" min="13" max="13" width="15.88"/>
    <col customWidth="1" min="14" max="14" width="18.63"/>
    <col customWidth="1" min="15" max="15" width="21.25"/>
    <col customWidth="1" min="16" max="16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 t="s">
        <v>17</v>
      </c>
      <c r="C2" s="4" t="s">
        <v>18</v>
      </c>
      <c r="D2" s="5"/>
      <c r="E2" s="6" t="s">
        <v>19</v>
      </c>
      <c r="F2" s="6" t="s">
        <v>20</v>
      </c>
      <c r="G2" s="7">
        <v>50.0</v>
      </c>
      <c r="H2" s="7">
        <v>0.0</v>
      </c>
      <c r="I2" s="7">
        <v>0.0</v>
      </c>
      <c r="J2" s="4" t="s">
        <v>21</v>
      </c>
      <c r="K2" s="4" t="s">
        <v>21</v>
      </c>
      <c r="L2" s="3" t="s">
        <v>22</v>
      </c>
      <c r="M2" s="4" t="s">
        <v>23</v>
      </c>
      <c r="N2" s="4" t="s">
        <v>24</v>
      </c>
      <c r="O2" s="4" t="s">
        <v>25</v>
      </c>
      <c r="P2" s="4" t="s">
        <v>26</v>
      </c>
    </row>
    <row r="3">
      <c r="A3" s="8" t="s">
        <v>16</v>
      </c>
      <c r="B3" s="9" t="s">
        <v>27</v>
      </c>
      <c r="C3" s="10" t="s">
        <v>28</v>
      </c>
      <c r="D3" s="11"/>
      <c r="E3" s="12" t="s">
        <v>29</v>
      </c>
      <c r="F3" s="12" t="s">
        <v>20</v>
      </c>
      <c r="G3" s="13">
        <v>195.0</v>
      </c>
      <c r="H3" s="13">
        <v>399.0</v>
      </c>
      <c r="I3" s="13">
        <v>0.0</v>
      </c>
      <c r="J3" s="10" t="s">
        <v>21</v>
      </c>
      <c r="K3" s="10" t="s">
        <v>30</v>
      </c>
      <c r="L3" s="9" t="s">
        <v>31</v>
      </c>
      <c r="M3" s="10" t="s">
        <v>23</v>
      </c>
      <c r="N3" s="10" t="s">
        <v>24</v>
      </c>
      <c r="O3" s="10" t="s">
        <v>25</v>
      </c>
      <c r="P3" s="10" t="s">
        <v>32</v>
      </c>
    </row>
    <row r="4">
      <c r="A4" s="14" t="s">
        <v>16</v>
      </c>
      <c r="B4" s="3" t="s">
        <v>33</v>
      </c>
      <c r="C4" s="4" t="s">
        <v>34</v>
      </c>
      <c r="D4" s="5"/>
      <c r="E4" s="6" t="s">
        <v>35</v>
      </c>
      <c r="F4" s="6" t="s">
        <v>20</v>
      </c>
      <c r="G4" s="7">
        <v>20.0</v>
      </c>
      <c r="H4" s="7">
        <v>0.0</v>
      </c>
      <c r="I4" s="7">
        <v>0.0</v>
      </c>
      <c r="J4" s="4" t="s">
        <v>21</v>
      </c>
      <c r="K4" s="4" t="s">
        <v>21</v>
      </c>
      <c r="L4" s="3" t="s">
        <v>36</v>
      </c>
      <c r="M4" s="4" t="s">
        <v>23</v>
      </c>
      <c r="N4" s="4" t="s">
        <v>24</v>
      </c>
      <c r="O4" s="4" t="s">
        <v>37</v>
      </c>
      <c r="P4" s="4" t="s">
        <v>26</v>
      </c>
    </row>
    <row r="5">
      <c r="A5" s="8" t="s">
        <v>16</v>
      </c>
      <c r="B5" s="9" t="s">
        <v>38</v>
      </c>
      <c r="C5" s="10" t="s">
        <v>39</v>
      </c>
      <c r="D5" s="11"/>
      <c r="E5" s="12" t="s">
        <v>40</v>
      </c>
      <c r="F5" s="12" t="s">
        <v>20</v>
      </c>
      <c r="G5" s="13">
        <v>20.0</v>
      </c>
      <c r="H5" s="13">
        <v>0.0</v>
      </c>
      <c r="I5" s="13">
        <v>0.0</v>
      </c>
      <c r="J5" s="10" t="s">
        <v>21</v>
      </c>
      <c r="K5" s="10" t="s">
        <v>21</v>
      </c>
      <c r="L5" s="9" t="s">
        <v>41</v>
      </c>
      <c r="M5" s="10" t="s">
        <v>23</v>
      </c>
      <c r="N5" s="10" t="s">
        <v>24</v>
      </c>
      <c r="O5" s="10" t="s">
        <v>42</v>
      </c>
      <c r="P5" s="10" t="s">
        <v>43</v>
      </c>
    </row>
    <row r="6">
      <c r="A6" s="14" t="s">
        <v>16</v>
      </c>
      <c r="B6" s="3" t="s">
        <v>44</v>
      </c>
      <c r="C6" s="4" t="s">
        <v>45</v>
      </c>
      <c r="D6" s="5"/>
      <c r="E6" s="6" t="s">
        <v>40</v>
      </c>
      <c r="F6" s="6" t="s">
        <v>20</v>
      </c>
      <c r="G6" s="7">
        <v>20.0</v>
      </c>
      <c r="H6" s="7">
        <v>0.0</v>
      </c>
      <c r="I6" s="7">
        <v>0.0</v>
      </c>
      <c r="J6" s="4" t="s">
        <v>21</v>
      </c>
      <c r="K6" s="4" t="s">
        <v>21</v>
      </c>
      <c r="L6" s="3" t="s">
        <v>41</v>
      </c>
      <c r="M6" s="4" t="s">
        <v>23</v>
      </c>
      <c r="N6" s="4" t="s">
        <v>24</v>
      </c>
      <c r="O6" s="4" t="s">
        <v>42</v>
      </c>
      <c r="P6" s="4" t="s">
        <v>43</v>
      </c>
    </row>
    <row r="7">
      <c r="A7" s="8" t="s">
        <v>16</v>
      </c>
      <c r="B7" s="9" t="s">
        <v>46</v>
      </c>
      <c r="C7" s="10" t="s">
        <v>47</v>
      </c>
      <c r="D7" s="11"/>
      <c r="E7" s="12" t="s">
        <v>40</v>
      </c>
      <c r="F7" s="12" t="s">
        <v>20</v>
      </c>
      <c r="G7" s="13">
        <v>20.0</v>
      </c>
      <c r="H7" s="13">
        <v>399.0</v>
      </c>
      <c r="I7" s="13">
        <v>0.0</v>
      </c>
      <c r="J7" s="10" t="s">
        <v>21</v>
      </c>
      <c r="K7" s="10" t="s">
        <v>21</v>
      </c>
      <c r="L7" s="9" t="s">
        <v>41</v>
      </c>
      <c r="M7" s="10" t="s">
        <v>23</v>
      </c>
      <c r="N7" s="10" t="s">
        <v>24</v>
      </c>
      <c r="O7" s="10" t="s">
        <v>42</v>
      </c>
      <c r="P7" s="10" t="s">
        <v>43</v>
      </c>
    </row>
    <row r="8">
      <c r="A8" s="14" t="s">
        <v>16</v>
      </c>
      <c r="B8" s="3" t="s">
        <v>48</v>
      </c>
      <c r="C8" s="4" t="s">
        <v>49</v>
      </c>
      <c r="D8" s="5"/>
      <c r="E8" s="6" t="s">
        <v>40</v>
      </c>
      <c r="F8" s="6" t="s">
        <v>20</v>
      </c>
      <c r="G8" s="7">
        <v>20.0</v>
      </c>
      <c r="H8" s="7">
        <v>399.0</v>
      </c>
      <c r="I8" s="7">
        <v>0.0</v>
      </c>
      <c r="J8" s="4" t="s">
        <v>21</v>
      </c>
      <c r="K8" s="4" t="s">
        <v>21</v>
      </c>
      <c r="L8" s="3" t="s">
        <v>50</v>
      </c>
      <c r="M8" s="4" t="s">
        <v>23</v>
      </c>
      <c r="N8" s="4" t="s">
        <v>24</v>
      </c>
      <c r="O8" s="4" t="s">
        <v>42</v>
      </c>
      <c r="P8" s="4" t="s">
        <v>43</v>
      </c>
    </row>
    <row r="9">
      <c r="A9" s="8" t="s">
        <v>16</v>
      </c>
      <c r="B9" s="9" t="s">
        <v>51</v>
      </c>
      <c r="C9" s="10" t="s">
        <v>52</v>
      </c>
      <c r="D9" s="11"/>
      <c r="E9" s="12" t="s">
        <v>40</v>
      </c>
      <c r="F9" s="12" t="s">
        <v>20</v>
      </c>
      <c r="G9" s="13">
        <v>20.0</v>
      </c>
      <c r="H9" s="13">
        <v>0.0</v>
      </c>
      <c r="I9" s="13">
        <v>0.0</v>
      </c>
      <c r="J9" s="10" t="s">
        <v>21</v>
      </c>
      <c r="K9" s="10" t="s">
        <v>21</v>
      </c>
      <c r="L9" s="9" t="s">
        <v>41</v>
      </c>
      <c r="M9" s="10" t="s">
        <v>23</v>
      </c>
      <c r="N9" s="10" t="s">
        <v>24</v>
      </c>
      <c r="O9" s="10" t="s">
        <v>42</v>
      </c>
      <c r="P9" s="10" t="s">
        <v>43</v>
      </c>
    </row>
    <row r="10">
      <c r="A10" s="14" t="s">
        <v>16</v>
      </c>
      <c r="B10" s="3" t="s">
        <v>53</v>
      </c>
      <c r="C10" s="5"/>
      <c r="D10" s="5"/>
      <c r="E10" s="6" t="s">
        <v>54</v>
      </c>
      <c r="F10" s="6" t="s">
        <v>20</v>
      </c>
      <c r="G10" s="7">
        <v>250.0</v>
      </c>
      <c r="H10" s="7">
        <v>0.0</v>
      </c>
      <c r="I10" s="7">
        <v>0.0</v>
      </c>
      <c r="J10" s="4" t="s">
        <v>21</v>
      </c>
      <c r="K10" s="4" t="s">
        <v>21</v>
      </c>
      <c r="L10" s="3" t="s">
        <v>55</v>
      </c>
      <c r="M10" s="4" t="s">
        <v>56</v>
      </c>
      <c r="N10" s="4" t="s">
        <v>24</v>
      </c>
      <c r="O10" s="4" t="s">
        <v>25</v>
      </c>
      <c r="P10" s="4" t="s">
        <v>32</v>
      </c>
    </row>
    <row r="11">
      <c r="A11" s="8" t="s">
        <v>16</v>
      </c>
      <c r="B11" s="9" t="s">
        <v>57</v>
      </c>
      <c r="C11" s="10" t="s">
        <v>58</v>
      </c>
      <c r="D11" s="11"/>
      <c r="E11" s="12" t="s">
        <v>54</v>
      </c>
      <c r="F11" s="12" t="s">
        <v>20</v>
      </c>
      <c r="G11" s="13">
        <v>250.0</v>
      </c>
      <c r="H11" s="13">
        <v>0.0</v>
      </c>
      <c r="I11" s="13">
        <v>0.0</v>
      </c>
      <c r="J11" s="10" t="s">
        <v>21</v>
      </c>
      <c r="K11" s="10" t="s">
        <v>21</v>
      </c>
      <c r="L11" s="9" t="s">
        <v>55</v>
      </c>
      <c r="M11" s="10" t="s">
        <v>23</v>
      </c>
      <c r="N11" s="10" t="s">
        <v>24</v>
      </c>
      <c r="O11" s="10" t="s">
        <v>37</v>
      </c>
      <c r="P11" s="10" t="s">
        <v>26</v>
      </c>
    </row>
    <row r="12">
      <c r="A12" s="14" t="s">
        <v>16</v>
      </c>
      <c r="B12" s="3" t="s">
        <v>59</v>
      </c>
      <c r="C12" s="4" t="s">
        <v>60</v>
      </c>
      <c r="D12" s="4" t="s">
        <v>60</v>
      </c>
      <c r="E12" s="6" t="s">
        <v>54</v>
      </c>
      <c r="F12" s="6" t="s">
        <v>20</v>
      </c>
      <c r="G12" s="7">
        <v>250.0</v>
      </c>
      <c r="H12" s="7">
        <v>0.0</v>
      </c>
      <c r="I12" s="7">
        <v>0.0</v>
      </c>
      <c r="J12" s="4" t="s">
        <v>21</v>
      </c>
      <c r="K12" s="4" t="s">
        <v>21</v>
      </c>
      <c r="L12" s="3" t="s">
        <v>55</v>
      </c>
      <c r="M12" s="4" t="s">
        <v>23</v>
      </c>
      <c r="N12" s="4" t="s">
        <v>24</v>
      </c>
      <c r="O12" s="4" t="s">
        <v>25</v>
      </c>
      <c r="P12" s="4" t="s">
        <v>32</v>
      </c>
    </row>
    <row r="13">
      <c r="A13" s="15" t="s">
        <v>16</v>
      </c>
      <c r="B13" s="9" t="s">
        <v>61</v>
      </c>
      <c r="C13" s="10" t="s">
        <v>62</v>
      </c>
      <c r="D13" s="10" t="s">
        <v>62</v>
      </c>
      <c r="E13" s="12" t="s">
        <v>54</v>
      </c>
      <c r="F13" s="12" t="s">
        <v>20</v>
      </c>
      <c r="G13" s="13">
        <v>250.0</v>
      </c>
      <c r="H13" s="13">
        <v>0.0</v>
      </c>
      <c r="I13" s="13">
        <v>0.0</v>
      </c>
      <c r="J13" s="10" t="s">
        <v>21</v>
      </c>
      <c r="K13" s="10" t="s">
        <v>21</v>
      </c>
      <c r="L13" s="9" t="s">
        <v>55</v>
      </c>
      <c r="M13" s="10" t="s">
        <v>23</v>
      </c>
      <c r="N13" s="10" t="s">
        <v>24</v>
      </c>
      <c r="O13" s="10" t="s">
        <v>25</v>
      </c>
      <c r="P13" s="10" t="s">
        <v>32</v>
      </c>
    </row>
    <row r="14">
      <c r="A14" s="14" t="s">
        <v>16</v>
      </c>
      <c r="B14" s="3" t="s">
        <v>63</v>
      </c>
      <c r="C14" s="4" t="s">
        <v>63</v>
      </c>
      <c r="D14" s="4" t="s">
        <v>63</v>
      </c>
      <c r="E14" s="6" t="s">
        <v>54</v>
      </c>
      <c r="F14" s="6" t="s">
        <v>20</v>
      </c>
      <c r="G14" s="7">
        <v>250.0</v>
      </c>
      <c r="H14" s="7">
        <v>0.0</v>
      </c>
      <c r="I14" s="7">
        <v>0.0</v>
      </c>
      <c r="J14" s="4" t="s">
        <v>21</v>
      </c>
      <c r="K14" s="4" t="s">
        <v>21</v>
      </c>
      <c r="L14" s="3" t="s">
        <v>64</v>
      </c>
      <c r="M14" s="4" t="s">
        <v>23</v>
      </c>
      <c r="N14" s="4" t="s">
        <v>65</v>
      </c>
      <c r="O14" s="4" t="s">
        <v>42</v>
      </c>
      <c r="P14" s="4" t="s">
        <v>43</v>
      </c>
    </row>
    <row r="15">
      <c r="A15" s="8" t="s">
        <v>16</v>
      </c>
      <c r="B15" s="9" t="s">
        <v>66</v>
      </c>
      <c r="C15" s="10" t="s">
        <v>67</v>
      </c>
      <c r="D15" s="10" t="s">
        <v>67</v>
      </c>
      <c r="E15" s="12" t="s">
        <v>54</v>
      </c>
      <c r="F15" s="12" t="s">
        <v>20</v>
      </c>
      <c r="G15" s="13">
        <v>1500.0</v>
      </c>
      <c r="H15" s="13">
        <v>0.0</v>
      </c>
      <c r="I15" s="13">
        <v>0.0</v>
      </c>
      <c r="J15" s="10" t="s">
        <v>21</v>
      </c>
      <c r="K15" s="10" t="s">
        <v>21</v>
      </c>
      <c r="L15" s="9" t="s">
        <v>68</v>
      </c>
      <c r="M15" s="10" t="s">
        <v>23</v>
      </c>
      <c r="N15" s="10" t="s">
        <v>69</v>
      </c>
      <c r="O15" s="10" t="s">
        <v>25</v>
      </c>
      <c r="P15" s="10" t="s">
        <v>32</v>
      </c>
    </row>
    <row r="16">
      <c r="A16" s="14" t="s">
        <v>16</v>
      </c>
      <c r="B16" s="3" t="s">
        <v>70</v>
      </c>
      <c r="C16" s="4" t="s">
        <v>71</v>
      </c>
      <c r="D16" s="5"/>
      <c r="E16" s="6" t="s">
        <v>19</v>
      </c>
      <c r="F16" s="6" t="s">
        <v>20</v>
      </c>
      <c r="G16" s="7">
        <v>20.0</v>
      </c>
      <c r="H16" s="7">
        <v>0.0</v>
      </c>
      <c r="I16" s="7">
        <v>0.0</v>
      </c>
      <c r="J16" s="4" t="s">
        <v>21</v>
      </c>
      <c r="K16" s="4" t="s">
        <v>21</v>
      </c>
      <c r="L16" s="3" t="s">
        <v>22</v>
      </c>
      <c r="M16" s="4" t="s">
        <v>23</v>
      </c>
      <c r="N16" s="4" t="s">
        <v>24</v>
      </c>
      <c r="O16" s="4" t="s">
        <v>42</v>
      </c>
      <c r="P16" s="4" t="s">
        <v>26</v>
      </c>
    </row>
    <row r="17">
      <c r="A17" s="8" t="s">
        <v>16</v>
      </c>
      <c r="B17" s="9" t="s">
        <v>72</v>
      </c>
      <c r="C17" s="11"/>
      <c r="D17" s="11"/>
      <c r="E17" s="12" t="s">
        <v>19</v>
      </c>
      <c r="F17" s="12" t="s">
        <v>20</v>
      </c>
      <c r="G17" s="13">
        <v>20.0</v>
      </c>
      <c r="H17" s="13">
        <v>0.0</v>
      </c>
      <c r="I17" s="13">
        <v>0.0</v>
      </c>
      <c r="J17" s="10" t="s">
        <v>21</v>
      </c>
      <c r="K17" s="10" t="s">
        <v>21</v>
      </c>
      <c r="L17" s="9" t="s">
        <v>19</v>
      </c>
      <c r="M17" s="10" t="s">
        <v>23</v>
      </c>
      <c r="N17" s="10" t="s">
        <v>24</v>
      </c>
      <c r="O17" s="10" t="s">
        <v>42</v>
      </c>
      <c r="P17" s="10" t="s">
        <v>26</v>
      </c>
    </row>
    <row r="18">
      <c r="A18" s="14" t="s">
        <v>16</v>
      </c>
      <c r="B18" s="3" t="s">
        <v>73</v>
      </c>
      <c r="C18" s="5"/>
      <c r="D18" s="4" t="s">
        <v>74</v>
      </c>
      <c r="E18" s="6" t="s">
        <v>19</v>
      </c>
      <c r="F18" s="6" t="s">
        <v>20</v>
      </c>
      <c r="G18" s="7">
        <v>50.0</v>
      </c>
      <c r="H18" s="7">
        <v>0.0</v>
      </c>
      <c r="I18" s="7">
        <v>0.0</v>
      </c>
      <c r="J18" s="4" t="s">
        <v>21</v>
      </c>
      <c r="K18" s="4" t="s">
        <v>21</v>
      </c>
      <c r="L18" s="3" t="s">
        <v>19</v>
      </c>
      <c r="M18" s="4" t="s">
        <v>23</v>
      </c>
      <c r="N18" s="4" t="s">
        <v>24</v>
      </c>
      <c r="O18" s="4" t="s">
        <v>42</v>
      </c>
      <c r="P18" s="4" t="s">
        <v>26</v>
      </c>
    </row>
    <row r="19">
      <c r="A19" s="8" t="s">
        <v>16</v>
      </c>
      <c r="B19" s="9" t="s">
        <v>75</v>
      </c>
      <c r="C19" s="10" t="s">
        <v>76</v>
      </c>
      <c r="D19" s="11"/>
      <c r="E19" s="12" t="s">
        <v>19</v>
      </c>
      <c r="F19" s="12" t="s">
        <v>20</v>
      </c>
      <c r="G19" s="13">
        <v>750.0</v>
      </c>
      <c r="H19" s="13">
        <v>399.0</v>
      </c>
      <c r="I19" s="13">
        <v>50.0</v>
      </c>
      <c r="J19" s="10" t="s">
        <v>21</v>
      </c>
      <c r="K19" s="10" t="s">
        <v>30</v>
      </c>
      <c r="L19" s="9" t="s">
        <v>77</v>
      </c>
      <c r="M19" s="10" t="s">
        <v>78</v>
      </c>
      <c r="N19" s="10" t="s">
        <v>79</v>
      </c>
      <c r="O19" s="10" t="s">
        <v>80</v>
      </c>
      <c r="P19" s="10" t="s">
        <v>32</v>
      </c>
    </row>
    <row r="20">
      <c r="A20" s="14" t="s">
        <v>16</v>
      </c>
      <c r="B20" s="3" t="s">
        <v>81</v>
      </c>
      <c r="C20" s="4" t="s">
        <v>82</v>
      </c>
      <c r="D20" s="5"/>
      <c r="E20" s="6" t="s">
        <v>29</v>
      </c>
      <c r="F20" s="6" t="s">
        <v>20</v>
      </c>
      <c r="G20" s="7">
        <v>20.0</v>
      </c>
      <c r="H20" s="7">
        <v>0.0</v>
      </c>
      <c r="I20" s="7">
        <v>0.0</v>
      </c>
      <c r="J20" s="4" t="s">
        <v>21</v>
      </c>
      <c r="K20" s="4" t="s">
        <v>21</v>
      </c>
      <c r="L20" s="3" t="s">
        <v>41</v>
      </c>
      <c r="M20" s="4" t="s">
        <v>23</v>
      </c>
      <c r="N20" s="4" t="s">
        <v>24</v>
      </c>
      <c r="O20" s="4" t="s">
        <v>42</v>
      </c>
      <c r="P20" s="4" t="s">
        <v>43</v>
      </c>
    </row>
    <row r="21">
      <c r="A21" s="8" t="s">
        <v>16</v>
      </c>
      <c r="B21" s="9" t="s">
        <v>83</v>
      </c>
      <c r="C21" s="10" t="s">
        <v>84</v>
      </c>
      <c r="D21" s="11"/>
      <c r="E21" s="12" t="s">
        <v>29</v>
      </c>
      <c r="F21" s="12" t="s">
        <v>20</v>
      </c>
      <c r="G21" s="13">
        <v>95.0</v>
      </c>
      <c r="H21" s="13">
        <v>399.0</v>
      </c>
      <c r="I21" s="13">
        <v>0.0</v>
      </c>
      <c r="J21" s="10" t="s">
        <v>21</v>
      </c>
      <c r="K21" s="10" t="s">
        <v>21</v>
      </c>
      <c r="L21" s="9" t="s">
        <v>41</v>
      </c>
      <c r="M21" s="10" t="s">
        <v>23</v>
      </c>
      <c r="N21" s="10" t="s">
        <v>24</v>
      </c>
      <c r="O21" s="10" t="s">
        <v>25</v>
      </c>
      <c r="P21" s="10" t="s">
        <v>26</v>
      </c>
    </row>
    <row r="22">
      <c r="A22" s="14" t="s">
        <v>16</v>
      </c>
      <c r="B22" s="3" t="s">
        <v>85</v>
      </c>
      <c r="C22" s="4" t="s">
        <v>86</v>
      </c>
      <c r="D22" s="4" t="s">
        <v>86</v>
      </c>
      <c r="E22" s="6" t="s">
        <v>40</v>
      </c>
      <c r="F22" s="6" t="s">
        <v>20</v>
      </c>
      <c r="G22" s="7">
        <v>250.0</v>
      </c>
      <c r="H22" s="7">
        <v>399.0</v>
      </c>
      <c r="I22" s="7">
        <v>50.0</v>
      </c>
      <c r="J22" s="4" t="s">
        <v>21</v>
      </c>
      <c r="K22" s="4" t="s">
        <v>30</v>
      </c>
      <c r="L22" s="3" t="s">
        <v>41</v>
      </c>
      <c r="M22" s="4" t="s">
        <v>78</v>
      </c>
      <c r="N22" s="4" t="s">
        <v>65</v>
      </c>
      <c r="O22" s="4" t="s">
        <v>80</v>
      </c>
      <c r="P22" s="4" t="s">
        <v>32</v>
      </c>
    </row>
    <row r="23">
      <c r="A23" s="8" t="s">
        <v>16</v>
      </c>
      <c r="B23" s="9" t="s">
        <v>87</v>
      </c>
      <c r="C23" s="10" t="s">
        <v>88</v>
      </c>
      <c r="D23" s="10" t="s">
        <v>88</v>
      </c>
      <c r="E23" s="12" t="s">
        <v>40</v>
      </c>
      <c r="F23" s="12" t="s">
        <v>20</v>
      </c>
      <c r="G23" s="13">
        <v>99.0</v>
      </c>
      <c r="H23" s="13">
        <v>399.0</v>
      </c>
      <c r="I23" s="13">
        <v>50.0</v>
      </c>
      <c r="J23" s="10" t="s">
        <v>21</v>
      </c>
      <c r="K23" s="10" t="s">
        <v>30</v>
      </c>
      <c r="L23" s="9" t="s">
        <v>41</v>
      </c>
      <c r="M23" s="10" t="s">
        <v>78</v>
      </c>
      <c r="N23" s="10" t="s">
        <v>65</v>
      </c>
      <c r="O23" s="10" t="s">
        <v>80</v>
      </c>
      <c r="P23" s="10" t="s">
        <v>32</v>
      </c>
    </row>
    <row r="24">
      <c r="A24" s="14" t="s">
        <v>16</v>
      </c>
      <c r="B24" s="3" t="s">
        <v>89</v>
      </c>
      <c r="C24" s="4" t="s">
        <v>90</v>
      </c>
      <c r="D24" s="4" t="s">
        <v>90</v>
      </c>
      <c r="E24" s="6" t="s">
        <v>40</v>
      </c>
      <c r="F24" s="6" t="s">
        <v>20</v>
      </c>
      <c r="G24" s="7">
        <v>250.0</v>
      </c>
      <c r="H24" s="7">
        <v>399.0</v>
      </c>
      <c r="I24" s="7">
        <v>50.0</v>
      </c>
      <c r="J24" s="4" t="s">
        <v>21</v>
      </c>
      <c r="K24" s="4" t="s">
        <v>30</v>
      </c>
      <c r="L24" s="3" t="s">
        <v>91</v>
      </c>
      <c r="M24" s="4" t="s">
        <v>78</v>
      </c>
      <c r="N24" s="4" t="s">
        <v>65</v>
      </c>
      <c r="O24" s="4" t="s">
        <v>80</v>
      </c>
      <c r="P24" s="4" t="s">
        <v>32</v>
      </c>
    </row>
    <row r="25" ht="20.25" customHeight="1">
      <c r="A25" s="8" t="s">
        <v>16</v>
      </c>
      <c r="B25" s="9" t="s">
        <v>92</v>
      </c>
      <c r="C25" s="11"/>
      <c r="D25" s="11"/>
      <c r="E25" s="12" t="s">
        <v>19</v>
      </c>
      <c r="F25" s="12" t="s">
        <v>20</v>
      </c>
      <c r="G25" s="13">
        <v>50.0</v>
      </c>
      <c r="H25" s="13">
        <v>0.0</v>
      </c>
      <c r="I25" s="13">
        <v>0.0</v>
      </c>
      <c r="J25" s="10" t="s">
        <v>21</v>
      </c>
      <c r="K25" s="10" t="s">
        <v>21</v>
      </c>
      <c r="L25" s="9" t="s">
        <v>19</v>
      </c>
      <c r="M25" s="10" t="s">
        <v>23</v>
      </c>
      <c r="N25" s="10" t="s">
        <v>24</v>
      </c>
      <c r="O25" s="10" t="s">
        <v>42</v>
      </c>
      <c r="P25" s="10" t="s">
        <v>26</v>
      </c>
    </row>
    <row r="26">
      <c r="A26" s="14" t="s">
        <v>16</v>
      </c>
      <c r="B26" s="3" t="s">
        <v>93</v>
      </c>
      <c r="C26" s="4" t="s">
        <v>94</v>
      </c>
      <c r="D26" s="5"/>
      <c r="E26" s="6" t="s">
        <v>95</v>
      </c>
      <c r="F26" s="6" t="s">
        <v>20</v>
      </c>
      <c r="G26" s="7">
        <v>50.0</v>
      </c>
      <c r="H26" s="7">
        <v>0.0</v>
      </c>
      <c r="I26" s="7">
        <v>0.0</v>
      </c>
      <c r="J26" s="4" t="s">
        <v>21</v>
      </c>
      <c r="K26" s="4" t="s">
        <v>21</v>
      </c>
      <c r="L26" s="3" t="s">
        <v>55</v>
      </c>
      <c r="M26" s="4" t="s">
        <v>23</v>
      </c>
      <c r="N26" s="4" t="s">
        <v>24</v>
      </c>
      <c r="O26" s="4" t="s">
        <v>42</v>
      </c>
      <c r="P26" s="4" t="s">
        <v>43</v>
      </c>
    </row>
    <row r="27">
      <c r="A27" s="8" t="s">
        <v>16</v>
      </c>
      <c r="B27" s="9" t="s">
        <v>96</v>
      </c>
      <c r="C27" s="10" t="s">
        <v>97</v>
      </c>
      <c r="D27" s="10" t="s">
        <v>97</v>
      </c>
      <c r="E27" s="12"/>
      <c r="F27" s="12" t="s">
        <v>20</v>
      </c>
      <c r="G27" s="13">
        <v>250.0</v>
      </c>
      <c r="H27" s="13">
        <v>0.0</v>
      </c>
      <c r="I27" s="13">
        <v>0.0</v>
      </c>
      <c r="J27" s="10" t="s">
        <v>21</v>
      </c>
      <c r="K27" s="10" t="s">
        <v>21</v>
      </c>
      <c r="L27" s="9" t="s">
        <v>64</v>
      </c>
      <c r="M27" s="10" t="s">
        <v>23</v>
      </c>
      <c r="N27" s="10" t="s">
        <v>65</v>
      </c>
      <c r="O27" s="10" t="s">
        <v>42</v>
      </c>
      <c r="P27" s="10" t="s">
        <v>43</v>
      </c>
    </row>
    <row r="28">
      <c r="A28" s="14" t="s">
        <v>16</v>
      </c>
      <c r="B28" s="3" t="s">
        <v>98</v>
      </c>
      <c r="C28" s="4" t="s">
        <v>99</v>
      </c>
      <c r="D28" s="4" t="s">
        <v>99</v>
      </c>
      <c r="E28" s="6"/>
      <c r="F28" s="6" t="s">
        <v>20</v>
      </c>
      <c r="G28" s="7">
        <v>1500.0</v>
      </c>
      <c r="H28" s="7">
        <v>0.0</v>
      </c>
      <c r="I28" s="7">
        <v>0.0</v>
      </c>
      <c r="J28" s="4" t="s">
        <v>21</v>
      </c>
      <c r="K28" s="4" t="s">
        <v>21</v>
      </c>
      <c r="L28" s="3" t="s">
        <v>64</v>
      </c>
      <c r="M28" s="4" t="s">
        <v>23</v>
      </c>
      <c r="N28" s="4" t="s">
        <v>69</v>
      </c>
      <c r="O28" s="4" t="s">
        <v>80</v>
      </c>
      <c r="P28" s="4" t="s">
        <v>32</v>
      </c>
    </row>
    <row r="29">
      <c r="A29" s="8" t="s">
        <v>16</v>
      </c>
      <c r="B29" s="9" t="s">
        <v>100</v>
      </c>
      <c r="C29" s="10" t="s">
        <v>101</v>
      </c>
      <c r="D29" s="11"/>
      <c r="E29" s="12"/>
      <c r="F29" s="12" t="s">
        <v>20</v>
      </c>
      <c r="G29" s="13">
        <v>145.0</v>
      </c>
      <c r="H29" s="13">
        <v>0.0</v>
      </c>
      <c r="I29" s="13">
        <v>0.0</v>
      </c>
      <c r="J29" s="10" t="s">
        <v>21</v>
      </c>
      <c r="K29" s="10" t="s">
        <v>21</v>
      </c>
      <c r="L29" s="9" t="s">
        <v>55</v>
      </c>
      <c r="M29" s="10" t="s">
        <v>23</v>
      </c>
      <c r="N29" s="10" t="s">
        <v>24</v>
      </c>
      <c r="O29" s="10" t="s">
        <v>42</v>
      </c>
      <c r="P29" s="10" t="s">
        <v>26</v>
      </c>
    </row>
    <row r="30">
      <c r="A30" s="14" t="s">
        <v>16</v>
      </c>
      <c r="B30" s="3" t="s">
        <v>102</v>
      </c>
      <c r="C30" s="4" t="s">
        <v>103</v>
      </c>
      <c r="D30" s="5"/>
      <c r="E30" s="6" t="s">
        <v>104</v>
      </c>
      <c r="F30" s="6" t="s">
        <v>20</v>
      </c>
      <c r="G30" s="7">
        <v>250.0</v>
      </c>
      <c r="H30" s="7">
        <v>399.0</v>
      </c>
      <c r="I30" s="7">
        <v>0.0</v>
      </c>
      <c r="J30" s="4" t="s">
        <v>21</v>
      </c>
      <c r="K30" s="4" t="s">
        <v>21</v>
      </c>
      <c r="L30" s="3" t="s">
        <v>55</v>
      </c>
      <c r="M30" s="4" t="s">
        <v>23</v>
      </c>
      <c r="N30" s="4" t="s">
        <v>24</v>
      </c>
      <c r="O30" s="4" t="s">
        <v>42</v>
      </c>
      <c r="P30" s="4" t="s">
        <v>26</v>
      </c>
    </row>
    <row r="31">
      <c r="A31" s="8" t="s">
        <v>16</v>
      </c>
      <c r="B31" s="9" t="s">
        <v>105</v>
      </c>
      <c r="C31" s="10" t="s">
        <v>106</v>
      </c>
      <c r="D31" s="11"/>
      <c r="E31" s="12" t="s">
        <v>95</v>
      </c>
      <c r="F31" s="12" t="s">
        <v>20</v>
      </c>
      <c r="G31" s="13">
        <v>250.0</v>
      </c>
      <c r="H31" s="13">
        <v>399.0</v>
      </c>
      <c r="I31" s="13">
        <v>0.0</v>
      </c>
      <c r="J31" s="10" t="s">
        <v>21</v>
      </c>
      <c r="K31" s="10" t="s">
        <v>21</v>
      </c>
      <c r="L31" s="9" t="s">
        <v>55</v>
      </c>
      <c r="M31" s="10" t="s">
        <v>23</v>
      </c>
      <c r="N31" s="10" t="s">
        <v>79</v>
      </c>
      <c r="O31" s="10" t="s">
        <v>42</v>
      </c>
      <c r="P31" s="10" t="s">
        <v>26</v>
      </c>
    </row>
    <row r="32">
      <c r="A32" s="14" t="s">
        <v>16</v>
      </c>
      <c r="B32" s="3" t="s">
        <v>107</v>
      </c>
      <c r="C32" s="4" t="s">
        <v>108</v>
      </c>
      <c r="D32" s="5"/>
      <c r="E32" s="6" t="s">
        <v>54</v>
      </c>
      <c r="F32" s="6" t="s">
        <v>20</v>
      </c>
      <c r="G32" s="7">
        <v>99.0</v>
      </c>
      <c r="H32" s="7">
        <v>0.0</v>
      </c>
      <c r="I32" s="7">
        <v>0.0</v>
      </c>
      <c r="J32" s="4" t="s">
        <v>21</v>
      </c>
      <c r="K32" s="4" t="s">
        <v>21</v>
      </c>
      <c r="L32" s="3" t="s">
        <v>41</v>
      </c>
      <c r="M32" s="4" t="s">
        <v>23</v>
      </c>
      <c r="N32" s="4" t="s">
        <v>79</v>
      </c>
      <c r="O32" s="4" t="s">
        <v>37</v>
      </c>
      <c r="P32" s="4" t="s">
        <v>43</v>
      </c>
    </row>
    <row r="33">
      <c r="A33" s="8" t="s">
        <v>16</v>
      </c>
      <c r="B33" s="9" t="s">
        <v>109</v>
      </c>
      <c r="C33" s="10" t="s">
        <v>110</v>
      </c>
      <c r="D33" s="11"/>
      <c r="E33" s="12" t="s">
        <v>95</v>
      </c>
      <c r="F33" s="12" t="s">
        <v>20</v>
      </c>
      <c r="G33" s="13">
        <v>50.0</v>
      </c>
      <c r="H33" s="13">
        <v>399.0</v>
      </c>
      <c r="I33" s="13">
        <v>0.0</v>
      </c>
      <c r="J33" s="10" t="s">
        <v>21</v>
      </c>
      <c r="K33" s="10" t="s">
        <v>21</v>
      </c>
      <c r="L33" s="9" t="s">
        <v>55</v>
      </c>
      <c r="M33" s="10" t="s">
        <v>23</v>
      </c>
      <c r="N33" s="10" t="s">
        <v>24</v>
      </c>
      <c r="O33" s="10" t="s">
        <v>25</v>
      </c>
      <c r="P33" s="10" t="s">
        <v>26</v>
      </c>
    </row>
    <row r="34">
      <c r="A34" s="14" t="s">
        <v>16</v>
      </c>
      <c r="B34" s="3" t="s">
        <v>111</v>
      </c>
      <c r="C34" s="4" t="s">
        <v>112</v>
      </c>
      <c r="D34" s="5"/>
      <c r="E34" s="6" t="s">
        <v>95</v>
      </c>
      <c r="F34" s="6" t="s">
        <v>20</v>
      </c>
      <c r="G34" s="7">
        <v>250.0</v>
      </c>
      <c r="H34" s="7">
        <v>399.0</v>
      </c>
      <c r="I34" s="7">
        <v>0.0</v>
      </c>
      <c r="J34" s="4" t="s">
        <v>21</v>
      </c>
      <c r="K34" s="4" t="s">
        <v>21</v>
      </c>
      <c r="L34" s="3" t="s">
        <v>55</v>
      </c>
      <c r="M34" s="4" t="s">
        <v>23</v>
      </c>
      <c r="N34" s="4" t="s">
        <v>24</v>
      </c>
      <c r="O34" s="4" t="s">
        <v>25</v>
      </c>
      <c r="P34" s="4" t="s">
        <v>32</v>
      </c>
    </row>
    <row r="35">
      <c r="A35" s="8" t="s">
        <v>16</v>
      </c>
      <c r="B35" s="9" t="s">
        <v>113</v>
      </c>
      <c r="C35" s="10" t="s">
        <v>114</v>
      </c>
      <c r="D35" s="10" t="s">
        <v>113</v>
      </c>
      <c r="E35" s="12" t="s">
        <v>35</v>
      </c>
      <c r="F35" s="12" t="s">
        <v>20</v>
      </c>
      <c r="G35" s="13">
        <v>20.0</v>
      </c>
      <c r="H35" s="13">
        <v>0.0</v>
      </c>
      <c r="I35" s="13">
        <v>0.0</v>
      </c>
      <c r="J35" s="10" t="s">
        <v>21</v>
      </c>
      <c r="K35" s="10" t="s">
        <v>30</v>
      </c>
      <c r="L35" s="9" t="s">
        <v>55</v>
      </c>
      <c r="M35" s="10" t="s">
        <v>23</v>
      </c>
      <c r="N35" s="10" t="s">
        <v>24</v>
      </c>
      <c r="O35" s="10" t="s">
        <v>42</v>
      </c>
      <c r="P35" s="10" t="s">
        <v>43</v>
      </c>
    </row>
    <row r="36">
      <c r="A36" s="14" t="s">
        <v>16</v>
      </c>
      <c r="B36" s="3" t="s">
        <v>115</v>
      </c>
      <c r="C36" s="4" t="s">
        <v>116</v>
      </c>
      <c r="D36" s="5"/>
      <c r="E36" s="6" t="s">
        <v>35</v>
      </c>
      <c r="F36" s="6" t="s">
        <v>20</v>
      </c>
      <c r="G36" s="7">
        <v>20.0</v>
      </c>
      <c r="H36" s="7">
        <v>0.0</v>
      </c>
      <c r="I36" s="7">
        <v>0.0</v>
      </c>
      <c r="J36" s="4" t="s">
        <v>21</v>
      </c>
      <c r="K36" s="4" t="s">
        <v>21</v>
      </c>
      <c r="L36" s="3" t="s">
        <v>55</v>
      </c>
      <c r="M36" s="4" t="s">
        <v>23</v>
      </c>
      <c r="N36" s="4" t="s">
        <v>24</v>
      </c>
      <c r="O36" s="4" t="s">
        <v>25</v>
      </c>
      <c r="P36" s="4" t="s">
        <v>26</v>
      </c>
    </row>
    <row r="37">
      <c r="A37" s="8" t="s">
        <v>16</v>
      </c>
      <c r="B37" s="9" t="s">
        <v>117</v>
      </c>
      <c r="C37" s="10" t="s">
        <v>118</v>
      </c>
      <c r="D37" s="10" t="s">
        <v>118</v>
      </c>
      <c r="E37" s="12" t="s">
        <v>40</v>
      </c>
      <c r="F37" s="12" t="s">
        <v>20</v>
      </c>
      <c r="G37" s="13">
        <v>250.0</v>
      </c>
      <c r="H37" s="13">
        <v>399.0</v>
      </c>
      <c r="I37" s="13">
        <v>50.0</v>
      </c>
      <c r="J37" s="10" t="s">
        <v>21</v>
      </c>
      <c r="K37" s="10" t="s">
        <v>30</v>
      </c>
      <c r="L37" s="9" t="s">
        <v>119</v>
      </c>
      <c r="M37" s="10" t="s">
        <v>78</v>
      </c>
      <c r="N37" s="10" t="s">
        <v>65</v>
      </c>
      <c r="O37" s="10" t="s">
        <v>80</v>
      </c>
      <c r="P37" s="10" t="s">
        <v>32</v>
      </c>
    </row>
    <row r="38">
      <c r="A38" s="14" t="s">
        <v>16</v>
      </c>
      <c r="B38" s="3" t="s">
        <v>120</v>
      </c>
      <c r="C38" s="4" t="s">
        <v>121</v>
      </c>
      <c r="D38" s="5"/>
      <c r="E38" s="6" t="s">
        <v>35</v>
      </c>
      <c r="F38" s="6" t="s">
        <v>20</v>
      </c>
      <c r="G38" s="7">
        <v>450.0</v>
      </c>
      <c r="H38" s="7">
        <v>0.0</v>
      </c>
      <c r="I38" s="7">
        <v>0.0</v>
      </c>
      <c r="J38" s="4" t="s">
        <v>21</v>
      </c>
      <c r="K38" s="4" t="s">
        <v>21</v>
      </c>
      <c r="L38" s="3" t="s">
        <v>50</v>
      </c>
      <c r="M38" s="4" t="s">
        <v>23</v>
      </c>
      <c r="N38" s="4" t="s">
        <v>79</v>
      </c>
      <c r="O38" s="4" t="s">
        <v>42</v>
      </c>
      <c r="P38" s="4" t="s">
        <v>26</v>
      </c>
    </row>
    <row r="39">
      <c r="A39" s="8" t="s">
        <v>16</v>
      </c>
      <c r="B39" s="9" t="s">
        <v>122</v>
      </c>
      <c r="C39" s="10" t="s">
        <v>123</v>
      </c>
      <c r="D39" s="10" t="s">
        <v>123</v>
      </c>
      <c r="E39" s="12" t="s">
        <v>35</v>
      </c>
      <c r="F39" s="12" t="s">
        <v>20</v>
      </c>
      <c r="G39" s="13">
        <v>450.0</v>
      </c>
      <c r="H39" s="13">
        <v>399.0</v>
      </c>
      <c r="I39" s="13">
        <v>0.0</v>
      </c>
      <c r="J39" s="10" t="s">
        <v>21</v>
      </c>
      <c r="K39" s="10" t="s">
        <v>21</v>
      </c>
      <c r="L39" s="9" t="s">
        <v>50</v>
      </c>
      <c r="M39" s="10" t="s">
        <v>23</v>
      </c>
      <c r="N39" s="10" t="s">
        <v>79</v>
      </c>
      <c r="O39" s="10" t="s">
        <v>25</v>
      </c>
      <c r="P39" s="10" t="s">
        <v>32</v>
      </c>
    </row>
    <row r="40">
      <c r="A40" s="14" t="s">
        <v>16</v>
      </c>
      <c r="B40" s="3" t="s">
        <v>124</v>
      </c>
      <c r="C40" s="4" t="s">
        <v>125</v>
      </c>
      <c r="D40" s="5"/>
      <c r="E40" s="6" t="s">
        <v>35</v>
      </c>
      <c r="F40" s="6" t="s">
        <v>20</v>
      </c>
      <c r="G40" s="7">
        <v>450.0</v>
      </c>
      <c r="H40" s="7">
        <v>399.0</v>
      </c>
      <c r="I40" s="7">
        <v>50.0</v>
      </c>
      <c r="J40" s="4" t="s">
        <v>21</v>
      </c>
      <c r="K40" s="4" t="s">
        <v>30</v>
      </c>
      <c r="L40" s="3" t="s">
        <v>126</v>
      </c>
      <c r="M40" s="4" t="s">
        <v>78</v>
      </c>
      <c r="N40" s="4" t="s">
        <v>65</v>
      </c>
      <c r="O40" s="4" t="s">
        <v>80</v>
      </c>
      <c r="P40" s="4" t="s">
        <v>32</v>
      </c>
    </row>
    <row r="41">
      <c r="A41" s="8" t="s">
        <v>16</v>
      </c>
      <c r="B41" s="9" t="s">
        <v>127</v>
      </c>
      <c r="C41" s="10" t="s">
        <v>128</v>
      </c>
      <c r="D41" s="11"/>
      <c r="E41" s="12" t="s">
        <v>40</v>
      </c>
      <c r="F41" s="12" t="s">
        <v>20</v>
      </c>
      <c r="G41" s="13">
        <v>99.0</v>
      </c>
      <c r="H41" s="13">
        <v>399.0</v>
      </c>
      <c r="I41" s="13">
        <v>0.0</v>
      </c>
      <c r="J41" s="10" t="s">
        <v>21</v>
      </c>
      <c r="K41" s="10" t="s">
        <v>21</v>
      </c>
      <c r="L41" s="9" t="s">
        <v>36</v>
      </c>
      <c r="M41" s="10" t="s">
        <v>23</v>
      </c>
      <c r="N41" s="10" t="s">
        <v>24</v>
      </c>
      <c r="O41" s="10" t="s">
        <v>25</v>
      </c>
      <c r="P41" s="10" t="s">
        <v>32</v>
      </c>
    </row>
    <row r="42">
      <c r="A42" s="14" t="s">
        <v>16</v>
      </c>
      <c r="B42" s="3" t="s">
        <v>129</v>
      </c>
      <c r="C42" s="4" t="s">
        <v>114</v>
      </c>
      <c r="D42" s="5"/>
      <c r="E42" s="6" t="s">
        <v>35</v>
      </c>
      <c r="F42" s="6" t="s">
        <v>20</v>
      </c>
      <c r="G42" s="7">
        <v>20.0</v>
      </c>
      <c r="H42" s="7">
        <v>0.0</v>
      </c>
      <c r="I42" s="7">
        <v>0.0</v>
      </c>
      <c r="J42" s="4" t="s">
        <v>21</v>
      </c>
      <c r="K42" s="4" t="s">
        <v>30</v>
      </c>
      <c r="L42" s="3" t="s">
        <v>126</v>
      </c>
      <c r="M42" s="4" t="s">
        <v>23</v>
      </c>
      <c r="N42" s="4" t="s">
        <v>24</v>
      </c>
      <c r="O42" s="4" t="s">
        <v>42</v>
      </c>
      <c r="P42" s="4" t="s">
        <v>43</v>
      </c>
    </row>
    <row r="43">
      <c r="A43" s="8" t="s">
        <v>16</v>
      </c>
      <c r="B43" s="9" t="s">
        <v>130</v>
      </c>
      <c r="C43" s="10" t="s">
        <v>131</v>
      </c>
      <c r="D43" s="11"/>
      <c r="E43" s="12" t="s">
        <v>35</v>
      </c>
      <c r="F43" s="12" t="s">
        <v>20</v>
      </c>
      <c r="G43" s="13">
        <v>50.0</v>
      </c>
      <c r="H43" s="13">
        <v>0.0</v>
      </c>
      <c r="I43" s="13">
        <v>0.0</v>
      </c>
      <c r="J43" s="10" t="s">
        <v>21</v>
      </c>
      <c r="K43" s="10" t="s">
        <v>21</v>
      </c>
      <c r="L43" s="9" t="s">
        <v>132</v>
      </c>
      <c r="M43" s="10" t="s">
        <v>23</v>
      </c>
      <c r="N43" s="10" t="s">
        <v>79</v>
      </c>
      <c r="O43" s="10" t="s">
        <v>25</v>
      </c>
      <c r="P43" s="10" t="s">
        <v>26</v>
      </c>
    </row>
    <row r="44">
      <c r="A44" s="14" t="s">
        <v>16</v>
      </c>
      <c r="B44" s="3" t="s">
        <v>133</v>
      </c>
      <c r="C44" s="4" t="s">
        <v>134</v>
      </c>
      <c r="D44" s="5"/>
      <c r="E44" s="6" t="s">
        <v>35</v>
      </c>
      <c r="F44" s="6" t="s">
        <v>20</v>
      </c>
      <c r="G44" s="7">
        <v>195.0</v>
      </c>
      <c r="H44" s="7">
        <v>0.0</v>
      </c>
      <c r="I44" s="7">
        <v>0.0</v>
      </c>
      <c r="J44" s="4" t="s">
        <v>21</v>
      </c>
      <c r="K44" s="4" t="s">
        <v>21</v>
      </c>
      <c r="L44" s="3" t="s">
        <v>132</v>
      </c>
      <c r="M44" s="4" t="s">
        <v>23</v>
      </c>
      <c r="N44" s="4" t="s">
        <v>79</v>
      </c>
      <c r="O44" s="4" t="s">
        <v>42</v>
      </c>
      <c r="P44" s="4" t="s">
        <v>26</v>
      </c>
    </row>
    <row r="45">
      <c r="A45" s="8" t="s">
        <v>16</v>
      </c>
      <c r="B45" s="9" t="s">
        <v>135</v>
      </c>
      <c r="C45" s="10" t="s">
        <v>136</v>
      </c>
      <c r="D45" s="10" t="s">
        <v>136</v>
      </c>
      <c r="E45" s="12" t="s">
        <v>104</v>
      </c>
      <c r="F45" s="12" t="s">
        <v>20</v>
      </c>
      <c r="G45" s="13">
        <v>20.0</v>
      </c>
      <c r="H45" s="13">
        <v>149.0</v>
      </c>
      <c r="I45" s="13">
        <v>0.0</v>
      </c>
      <c r="J45" s="10" t="s">
        <v>137</v>
      </c>
      <c r="K45" s="10" t="s">
        <v>21</v>
      </c>
      <c r="L45" s="16"/>
      <c r="M45" s="10" t="s">
        <v>138</v>
      </c>
      <c r="N45" s="10" t="s">
        <v>79</v>
      </c>
      <c r="O45" s="10" t="s">
        <v>37</v>
      </c>
      <c r="P45" s="10" t="s">
        <v>43</v>
      </c>
    </row>
    <row r="46">
      <c r="A46" s="14" t="s">
        <v>16</v>
      </c>
      <c r="B46" s="3" t="s">
        <v>139</v>
      </c>
      <c r="C46" s="5"/>
      <c r="D46" s="4" t="s">
        <v>140</v>
      </c>
      <c r="E46" s="6" t="s">
        <v>19</v>
      </c>
      <c r="F46" s="6" t="s">
        <v>20</v>
      </c>
      <c r="G46" s="7">
        <v>50.0</v>
      </c>
      <c r="H46" s="7">
        <v>0.0</v>
      </c>
      <c r="I46" s="7">
        <v>0.0</v>
      </c>
      <c r="J46" s="4" t="s">
        <v>21</v>
      </c>
      <c r="K46" s="4" t="s">
        <v>21</v>
      </c>
      <c r="L46" s="3" t="s">
        <v>141</v>
      </c>
      <c r="M46" s="4" t="s">
        <v>23</v>
      </c>
      <c r="N46" s="4" t="s">
        <v>24</v>
      </c>
      <c r="O46" s="4" t="s">
        <v>42</v>
      </c>
      <c r="P46" s="4" t="s">
        <v>26</v>
      </c>
    </row>
    <row r="47">
      <c r="A47" s="8" t="s">
        <v>16</v>
      </c>
      <c r="B47" s="9" t="s">
        <v>142</v>
      </c>
      <c r="C47" s="10" t="s">
        <v>143</v>
      </c>
      <c r="D47" s="10" t="s">
        <v>143</v>
      </c>
      <c r="E47" s="12" t="s">
        <v>54</v>
      </c>
      <c r="F47" s="12" t="s">
        <v>20</v>
      </c>
      <c r="G47" s="13">
        <v>250.0</v>
      </c>
      <c r="H47" s="13">
        <v>0.0</v>
      </c>
      <c r="I47" s="13">
        <v>0.0</v>
      </c>
      <c r="J47" s="10" t="s">
        <v>21</v>
      </c>
      <c r="K47" s="10" t="s">
        <v>21</v>
      </c>
      <c r="L47" s="9" t="s">
        <v>55</v>
      </c>
      <c r="M47" s="10" t="s">
        <v>23</v>
      </c>
      <c r="N47" s="10" t="s">
        <v>24</v>
      </c>
      <c r="O47" s="10" t="s">
        <v>25</v>
      </c>
      <c r="P47" s="10" t="s">
        <v>32</v>
      </c>
    </row>
    <row r="48">
      <c r="A48" s="14" t="s">
        <v>16</v>
      </c>
      <c r="B48" s="3" t="s">
        <v>144</v>
      </c>
      <c r="C48" s="4" t="s">
        <v>145</v>
      </c>
      <c r="D48" s="4" t="s">
        <v>145</v>
      </c>
      <c r="E48" s="6" t="s">
        <v>54</v>
      </c>
      <c r="F48" s="6" t="s">
        <v>20</v>
      </c>
      <c r="G48" s="7">
        <v>250.0</v>
      </c>
      <c r="H48" s="7">
        <v>0.0</v>
      </c>
      <c r="I48" s="7">
        <v>0.0</v>
      </c>
      <c r="J48" s="4" t="s">
        <v>21</v>
      </c>
      <c r="K48" s="4" t="s">
        <v>21</v>
      </c>
      <c r="L48" s="3" t="s">
        <v>55</v>
      </c>
      <c r="M48" s="4" t="s">
        <v>23</v>
      </c>
      <c r="N48" s="4" t="s">
        <v>24</v>
      </c>
      <c r="O48" s="4" t="s">
        <v>25</v>
      </c>
      <c r="P48" s="4" t="s">
        <v>32</v>
      </c>
    </row>
    <row r="49">
      <c r="A49" s="17"/>
      <c r="B49" s="18"/>
      <c r="E49" s="19"/>
      <c r="F49" s="19"/>
      <c r="G49" s="20"/>
      <c r="H49" s="20"/>
      <c r="I49" s="20"/>
      <c r="L49" s="18"/>
    </row>
    <row r="50">
      <c r="A50" s="17"/>
      <c r="B50" s="18"/>
      <c r="E50" s="19"/>
      <c r="F50" s="19"/>
      <c r="G50" s="20"/>
      <c r="H50" s="20"/>
      <c r="I50" s="20"/>
      <c r="L50" s="18"/>
    </row>
    <row r="51">
      <c r="A51" s="17"/>
      <c r="B51" s="18"/>
      <c r="E51" s="19"/>
      <c r="F51" s="19"/>
      <c r="G51" s="20"/>
      <c r="H51" s="20"/>
      <c r="I51" s="20"/>
      <c r="L51" s="18"/>
    </row>
  </sheetData>
  <autoFilter ref="$E$1:$E$51"/>
  <dataValidations>
    <dataValidation type="list" allowBlank="1" showErrorMessage="1" sqref="F2:F48">
      <formula1>"Published,Draft,Pending"</formula1>
    </dataValidation>
    <dataValidation type="list" allowBlank="1" sqref="O2:O48">
      <formula1>"Semi custom,Ready to implement,Quick,Fully custom"</formula1>
    </dataValidation>
    <dataValidation type="list" allowBlank="1" sqref="P2:P48">
      <formula1>"3 days,1 week,2 weeks"</formula1>
    </dataValidation>
    <dataValidation type="list" allowBlank="1" sqref="E2:E48">
      <formula1>"SEO &amp; Schema,Lead Generation &amp; Conversion,Member Profile Enhancement,Search &amp; Discovery,Page Design &amp; Development,Content &amp; Engagement,Integrations,Member Management &amp; Automation"</formula1>
    </dataValidation>
    <dataValidation type="list" allowBlank="1" showErrorMessage="1" sqref="M2:M48">
      <formula1>"Fixed price,Ask for quote,Starts from,Subscription"</formula1>
    </dataValidation>
    <dataValidation type="list" allowBlank="1" sqref="N2:N48">
      <formula1>"Quick service,Flagship service,Service,Tool"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</hyperlinks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25"/>
    <col customWidth="1" min="2" max="2" width="50.5"/>
    <col customWidth="1" min="3" max="3" width="13.0"/>
    <col customWidth="1" min="4" max="4" width="22.13"/>
    <col customWidth="1" min="5" max="11" width="13.0"/>
    <col customWidth="1" min="12" max="12" width="16.13"/>
    <col customWidth="1" min="13" max="13" width="13.0"/>
    <col customWidth="1" min="14" max="14" width="16.25"/>
    <col customWidth="1" min="15" max="15" width="13.0"/>
  </cols>
  <sheetData>
    <row r="1" ht="30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5</v>
      </c>
      <c r="F1" s="21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1" t="s">
        <v>13</v>
      </c>
      <c r="N1" s="21" t="s">
        <v>14</v>
      </c>
      <c r="O1" s="21" t="s">
        <v>15</v>
      </c>
    </row>
    <row r="2">
      <c r="A2" s="22" t="str">
        <f>HYPERLINK("https://bdgrowthsuite.com/tools/bitrix24-integration-for-members-signup", "View Tool")</f>
        <v>View Tool</v>
      </c>
      <c r="B2" s="23" t="s">
        <v>146</v>
      </c>
      <c r="C2" s="23"/>
      <c r="D2" s="23"/>
      <c r="E2" s="24" t="s">
        <v>147</v>
      </c>
      <c r="F2" s="25">
        <v>50.0</v>
      </c>
      <c r="G2" s="25">
        <v>0.0</v>
      </c>
      <c r="H2" s="25">
        <v>0.0</v>
      </c>
      <c r="I2" s="23" t="s">
        <v>21</v>
      </c>
      <c r="J2" s="23" t="s">
        <v>21</v>
      </c>
      <c r="K2" s="23" t="s">
        <v>148</v>
      </c>
      <c r="L2" s="23"/>
      <c r="M2" s="23"/>
      <c r="N2" s="23"/>
      <c r="O2" s="23"/>
    </row>
    <row r="3">
      <c r="A3" s="26" t="str">
        <f>HYPERLINK("https://bdgrowthsuite.com/tools/blog-post-and-article-writing", "View Tool")</f>
        <v>View Tool</v>
      </c>
      <c r="B3" s="27" t="s">
        <v>149</v>
      </c>
      <c r="C3" s="27"/>
      <c r="D3" s="27"/>
      <c r="E3" s="28" t="s">
        <v>147</v>
      </c>
      <c r="F3" s="29">
        <v>95.0</v>
      </c>
      <c r="G3" s="29">
        <v>0.0</v>
      </c>
      <c r="H3" s="29">
        <v>0.0</v>
      </c>
      <c r="I3" s="27" t="s">
        <v>21</v>
      </c>
      <c r="J3" s="27" t="s">
        <v>21</v>
      </c>
      <c r="K3" s="27" t="s">
        <v>150</v>
      </c>
      <c r="L3" s="27"/>
      <c r="M3" s="27"/>
      <c r="N3" s="27"/>
      <c r="O3" s="27"/>
    </row>
    <row r="4">
      <c r="A4" s="22" t="str">
        <f>HYPERLINK("https://bdgrowthsuite.com/tools/call-to-action-manager-for-blog-articles", "View Tool")</f>
        <v>View Tool</v>
      </c>
      <c r="B4" s="23" t="s">
        <v>151</v>
      </c>
      <c r="C4" s="23"/>
      <c r="D4" s="23"/>
      <c r="E4" s="24" t="s">
        <v>147</v>
      </c>
      <c r="F4" s="25">
        <v>450.0</v>
      </c>
      <c r="G4" s="25">
        <v>0.0</v>
      </c>
      <c r="H4" s="25">
        <v>0.0</v>
      </c>
      <c r="I4" s="23" t="s">
        <v>21</v>
      </c>
      <c r="J4" s="23" t="s">
        <v>21</v>
      </c>
      <c r="K4" s="23" t="s">
        <v>55</v>
      </c>
      <c r="L4" s="23"/>
      <c r="M4" s="23"/>
      <c r="N4" s="23"/>
      <c r="O4" s="23"/>
    </row>
    <row r="5">
      <c r="A5" s="26" t="str">
        <f>HYPERLINK("https://bdgrowthsuite.com/tools/chatbot-development-and-setup", "View Tool")</f>
        <v>View Tool</v>
      </c>
      <c r="B5" s="27" t="s">
        <v>152</v>
      </c>
      <c r="C5" s="27"/>
      <c r="D5" s="27"/>
      <c r="E5" s="28" t="s">
        <v>147</v>
      </c>
      <c r="F5" s="29">
        <v>250.0</v>
      </c>
      <c r="G5" s="29">
        <v>0.0</v>
      </c>
      <c r="H5" s="29">
        <v>0.0</v>
      </c>
      <c r="I5" s="27" t="s">
        <v>21</v>
      </c>
      <c r="J5" s="27" t="s">
        <v>21</v>
      </c>
      <c r="K5" s="27" t="s">
        <v>153</v>
      </c>
      <c r="L5" s="27" t="s">
        <v>78</v>
      </c>
      <c r="M5" s="27"/>
      <c r="N5" s="27"/>
      <c r="O5" s="27"/>
    </row>
    <row r="6">
      <c r="A6" s="22" t="str">
        <f>HYPERLINK("https://bdgrowthsuite.com/tools/copywriting-for-email-funnels", "View Tool")</f>
        <v>View Tool</v>
      </c>
      <c r="B6" s="23" t="s">
        <v>154</v>
      </c>
      <c r="C6" s="23"/>
      <c r="D6" s="23"/>
      <c r="E6" s="24" t="s">
        <v>147</v>
      </c>
      <c r="F6" s="25">
        <v>1500.0</v>
      </c>
      <c r="G6" s="25">
        <v>0.0</v>
      </c>
      <c r="H6" s="25">
        <v>0.0</v>
      </c>
      <c r="I6" s="23" t="s">
        <v>21</v>
      </c>
      <c r="J6" s="23" t="s">
        <v>21</v>
      </c>
      <c r="K6" s="23" t="s">
        <v>155</v>
      </c>
      <c r="L6" s="23"/>
      <c r="M6" s="23"/>
      <c r="N6" s="23"/>
      <c r="O6" s="23"/>
    </row>
    <row r="7">
      <c r="A7" s="26" t="str">
        <f>HYPERLINK("https://bdgrowthsuite.com/tools/copywriting-for-landing-page-funnels", "View Tool")</f>
        <v>View Tool</v>
      </c>
      <c r="B7" s="27" t="s">
        <v>156</v>
      </c>
      <c r="C7" s="27"/>
      <c r="D7" s="27"/>
      <c r="E7" s="28" t="s">
        <v>147</v>
      </c>
      <c r="F7" s="29">
        <v>1500.0</v>
      </c>
      <c r="G7" s="29">
        <v>0.0</v>
      </c>
      <c r="H7" s="29">
        <v>0.0</v>
      </c>
      <c r="I7" s="27" t="s">
        <v>21</v>
      </c>
      <c r="J7" s="27" t="s">
        <v>21</v>
      </c>
      <c r="K7" s="27" t="s">
        <v>155</v>
      </c>
      <c r="L7" s="27"/>
      <c r="M7" s="27"/>
      <c r="N7" s="27"/>
      <c r="O7" s="27"/>
    </row>
    <row r="8">
      <c r="A8" s="22" t="str">
        <f>HYPERLINK("https://bdgrowthsuite.com/tools/copywriting-of-about-us-page", "View Tool")</f>
        <v>View Tool</v>
      </c>
      <c r="B8" s="23" t="s">
        <v>157</v>
      </c>
      <c r="C8" s="23"/>
      <c r="D8" s="23"/>
      <c r="E8" s="24" t="s">
        <v>147</v>
      </c>
      <c r="F8" s="25">
        <v>95.0</v>
      </c>
      <c r="G8" s="25">
        <v>0.0</v>
      </c>
      <c r="H8" s="25">
        <v>0.0</v>
      </c>
      <c r="I8" s="23" t="s">
        <v>21</v>
      </c>
      <c r="J8" s="23" t="s">
        <v>21</v>
      </c>
      <c r="K8" s="23" t="s">
        <v>155</v>
      </c>
      <c r="L8" s="23"/>
      <c r="M8" s="23"/>
      <c r="N8" s="23"/>
      <c r="O8" s="23"/>
    </row>
    <row r="9">
      <c r="A9" s="26" t="str">
        <f>HYPERLINK("https://bdgrowthsuite.com/tools/copywriting-of-addon-services-of-your-directory", "View Tool")</f>
        <v>View Tool</v>
      </c>
      <c r="B9" s="27" t="s">
        <v>158</v>
      </c>
      <c r="C9" s="27"/>
      <c r="D9" s="27"/>
      <c r="E9" s="28" t="s">
        <v>147</v>
      </c>
      <c r="F9" s="29">
        <v>95.0</v>
      </c>
      <c r="G9" s="29">
        <v>0.0</v>
      </c>
      <c r="H9" s="29">
        <v>0.0</v>
      </c>
      <c r="I9" s="27" t="s">
        <v>21</v>
      </c>
      <c r="J9" s="27" t="s">
        <v>21</v>
      </c>
      <c r="K9" s="27" t="s">
        <v>155</v>
      </c>
      <c r="L9" s="27"/>
      <c r="M9" s="27"/>
      <c r="N9" s="27"/>
      <c r="O9" s="27"/>
    </row>
    <row r="10">
      <c r="A10" s="22" t="str">
        <f>HYPERLINK("https://bdgrowthsuite.com/tools/copywriting-of-category-page-s-contents", "View Tool")</f>
        <v>View Tool</v>
      </c>
      <c r="B10" s="23" t="s">
        <v>159</v>
      </c>
      <c r="C10" s="23"/>
      <c r="D10" s="23"/>
      <c r="E10" s="24" t="s">
        <v>147</v>
      </c>
      <c r="F10" s="25">
        <v>95.0</v>
      </c>
      <c r="G10" s="25">
        <v>0.0</v>
      </c>
      <c r="H10" s="25">
        <v>0.0</v>
      </c>
      <c r="I10" s="23" t="s">
        <v>21</v>
      </c>
      <c r="J10" s="23" t="s">
        <v>21</v>
      </c>
      <c r="K10" s="23" t="s">
        <v>155</v>
      </c>
      <c r="L10" s="23"/>
      <c r="M10" s="23"/>
      <c r="N10" s="23"/>
      <c r="O10" s="23"/>
    </row>
    <row r="11">
      <c r="A11" s="26" t="str">
        <f>HYPERLINK("https://bdgrowthsuite.com/tools/copywriting-of-core-services-of-your-directory", "View Tool")</f>
        <v>View Tool</v>
      </c>
      <c r="B11" s="27" t="s">
        <v>160</v>
      </c>
      <c r="C11" s="27"/>
      <c r="D11" s="27"/>
      <c r="E11" s="28" t="s">
        <v>147</v>
      </c>
      <c r="F11" s="29">
        <v>95.0</v>
      </c>
      <c r="G11" s="29">
        <v>0.0</v>
      </c>
      <c r="H11" s="29">
        <v>0.0</v>
      </c>
      <c r="I11" s="27" t="s">
        <v>21</v>
      </c>
      <c r="J11" s="27" t="s">
        <v>21</v>
      </c>
      <c r="K11" s="27" t="s">
        <v>155</v>
      </c>
      <c r="L11" s="27"/>
      <c r="M11" s="27"/>
      <c r="N11" s="27"/>
      <c r="O11" s="27"/>
    </row>
    <row r="12">
      <c r="A12" s="22" t="str">
        <f>HYPERLINK("https://bdgrowthsuite.com/tools/copywriting-of-home-page", "View Tool")</f>
        <v>View Tool</v>
      </c>
      <c r="B12" s="23" t="s">
        <v>161</v>
      </c>
      <c r="C12" s="23"/>
      <c r="D12" s="23"/>
      <c r="E12" s="24" t="s">
        <v>147</v>
      </c>
      <c r="F12" s="25">
        <v>150.0</v>
      </c>
      <c r="G12" s="25">
        <v>0.0</v>
      </c>
      <c r="H12" s="25">
        <v>0.0</v>
      </c>
      <c r="I12" s="23" t="s">
        <v>21</v>
      </c>
      <c r="J12" s="23" t="s">
        <v>21</v>
      </c>
      <c r="K12" s="23" t="s">
        <v>155</v>
      </c>
      <c r="L12" s="23"/>
      <c r="M12" s="23"/>
      <c r="N12" s="23"/>
      <c r="O12" s="23"/>
    </row>
    <row r="13">
      <c r="A13" s="26" t="str">
        <f>HYPERLINK("https://bdgrowthsuite.com/tools/copywriting-of-join-page", "View Tool")</f>
        <v>View Tool</v>
      </c>
      <c r="B13" s="27" t="s">
        <v>162</v>
      </c>
      <c r="C13" s="27"/>
      <c r="D13" s="27"/>
      <c r="E13" s="28" t="s">
        <v>147</v>
      </c>
      <c r="F13" s="29">
        <v>150.0</v>
      </c>
      <c r="G13" s="29">
        <v>0.0</v>
      </c>
      <c r="H13" s="29">
        <v>0.0</v>
      </c>
      <c r="I13" s="27" t="s">
        <v>21</v>
      </c>
      <c r="J13" s="27" t="s">
        <v>21</v>
      </c>
      <c r="K13" s="27" t="s">
        <v>155</v>
      </c>
      <c r="L13" s="27"/>
      <c r="M13" s="27"/>
      <c r="N13" s="27"/>
      <c r="O13" s="27"/>
    </row>
    <row r="14">
      <c r="A14" s="22" t="str">
        <f>HYPERLINK("https://bdgrowthsuite.com/tools/customize-the-members-signup-forms", "View Tool")</f>
        <v>View Tool</v>
      </c>
      <c r="B14" s="23" t="s">
        <v>163</v>
      </c>
      <c r="C14" s="23"/>
      <c r="D14" s="23"/>
      <c r="E14" s="24" t="s">
        <v>147</v>
      </c>
      <c r="F14" s="25">
        <v>60.0</v>
      </c>
      <c r="G14" s="25">
        <v>0.0</v>
      </c>
      <c r="H14" s="25">
        <v>0.0</v>
      </c>
      <c r="I14" s="23" t="s">
        <v>21</v>
      </c>
      <c r="J14" s="23" t="s">
        <v>21</v>
      </c>
      <c r="K14" s="23" t="s">
        <v>164</v>
      </c>
      <c r="L14" s="23" t="s">
        <v>78</v>
      </c>
      <c r="M14" s="23"/>
      <c r="N14" s="23"/>
      <c r="O14" s="23"/>
    </row>
    <row r="15">
      <c r="A15" s="26" t="str">
        <f>HYPERLINK("https://bdgrowthsuite.com/tools/e-commerce-for-bd-sites", "View Tool")</f>
        <v>View Tool</v>
      </c>
      <c r="B15" s="27" t="s">
        <v>165</v>
      </c>
      <c r="C15" s="27"/>
      <c r="D15" s="27"/>
      <c r="E15" s="28" t="s">
        <v>147</v>
      </c>
      <c r="F15" s="29">
        <v>6000.0</v>
      </c>
      <c r="G15" s="29">
        <v>0.0</v>
      </c>
      <c r="H15" s="29">
        <v>0.0</v>
      </c>
      <c r="I15" s="27" t="s">
        <v>21</v>
      </c>
      <c r="J15" s="27" t="s">
        <v>21</v>
      </c>
      <c r="K15" s="27" t="s">
        <v>166</v>
      </c>
      <c r="L15" s="27"/>
      <c r="M15" s="27"/>
      <c r="N15" s="27"/>
      <c r="O15" s="27"/>
    </row>
    <row r="16">
      <c r="A16" s="22" t="str">
        <f>HYPERLINK("https://bdgrowthsuite.com/tools/hubspot-integration-for-members-signup", "View Tool")</f>
        <v>View Tool</v>
      </c>
      <c r="B16" s="23" t="s">
        <v>167</v>
      </c>
      <c r="C16" s="23"/>
      <c r="D16" s="23"/>
      <c r="E16" s="24" t="s">
        <v>147</v>
      </c>
      <c r="F16" s="25">
        <v>50.0</v>
      </c>
      <c r="G16" s="25">
        <v>0.0</v>
      </c>
      <c r="H16" s="25">
        <v>0.0</v>
      </c>
      <c r="I16" s="23" t="s">
        <v>21</v>
      </c>
      <c r="J16" s="23" t="s">
        <v>21</v>
      </c>
      <c r="K16" s="23" t="s">
        <v>148</v>
      </c>
      <c r="L16" s="23"/>
      <c r="M16" s="23"/>
      <c r="N16" s="23"/>
      <c r="O16" s="23"/>
    </row>
    <row r="17">
      <c r="A17" s="26" t="str">
        <f>HYPERLINK("https://bdgrowthsuite.com/tools/outreach-support-advanced-level", "View Tool")</f>
        <v>View Tool</v>
      </c>
      <c r="B17" s="27" t="s">
        <v>168</v>
      </c>
      <c r="C17" s="27"/>
      <c r="D17" s="27"/>
      <c r="E17" s="28" t="s">
        <v>147</v>
      </c>
      <c r="F17" s="29">
        <v>0.0</v>
      </c>
      <c r="G17" s="29">
        <v>0.0</v>
      </c>
      <c r="H17" s="29">
        <v>0.0</v>
      </c>
      <c r="I17" s="27" t="s">
        <v>21</v>
      </c>
      <c r="J17" s="27" t="s">
        <v>21</v>
      </c>
      <c r="K17" s="27" t="s">
        <v>169</v>
      </c>
      <c r="L17" s="27" t="s">
        <v>56</v>
      </c>
      <c r="M17" s="27"/>
      <c r="N17" s="27"/>
      <c r="O17" s="27"/>
    </row>
    <row r="18">
      <c r="A18" s="22" t="str">
        <f>HYPERLINK("https://bdgrowthsuite.com/tools/outreach-support-basic-level", "View Tool")</f>
        <v>View Tool</v>
      </c>
      <c r="B18" s="23" t="s">
        <v>170</v>
      </c>
      <c r="C18" s="23"/>
      <c r="D18" s="23"/>
      <c r="E18" s="24" t="s">
        <v>147</v>
      </c>
      <c r="F18" s="25">
        <v>395.0</v>
      </c>
      <c r="G18" s="25">
        <v>0.0</v>
      </c>
      <c r="H18" s="25">
        <v>0.0</v>
      </c>
      <c r="I18" s="23" t="s">
        <v>21</v>
      </c>
      <c r="J18" s="23" t="s">
        <v>21</v>
      </c>
      <c r="K18" s="23" t="s">
        <v>169</v>
      </c>
      <c r="L18" s="23" t="s">
        <v>78</v>
      </c>
      <c r="M18" s="23"/>
      <c r="N18" s="23"/>
      <c r="O18" s="23"/>
    </row>
    <row r="19">
      <c r="A19" s="26" t="str">
        <f>HYPERLINK("https://bdgrowthsuite.com/tools/pipedrive-integration-for-members-signup", "View Tool")</f>
        <v>View Tool</v>
      </c>
      <c r="B19" s="27" t="s">
        <v>171</v>
      </c>
      <c r="C19" s="27"/>
      <c r="D19" s="27"/>
      <c r="E19" s="28" t="s">
        <v>147</v>
      </c>
      <c r="F19" s="29">
        <v>50.0</v>
      </c>
      <c r="G19" s="29">
        <v>0.0</v>
      </c>
      <c r="H19" s="29">
        <v>0.0</v>
      </c>
      <c r="I19" s="27" t="s">
        <v>21</v>
      </c>
      <c r="J19" s="27" t="s">
        <v>21</v>
      </c>
      <c r="K19" s="27" t="s">
        <v>148</v>
      </c>
      <c r="L19" s="27"/>
      <c r="M19" s="27"/>
      <c r="N19" s="27"/>
      <c r="O19" s="27"/>
    </row>
    <row r="20">
      <c r="A20" s="22" t="str">
        <f>HYPERLINK("https://bdgrowthsuite.com/tools/search-results-faq-with-faq-management-plugin", "View Tool")</f>
        <v>View Tool</v>
      </c>
      <c r="B20" s="23" t="s">
        <v>172</v>
      </c>
      <c r="C20" s="23" t="s">
        <v>173</v>
      </c>
      <c r="D20" s="23"/>
      <c r="E20" s="24" t="s">
        <v>147</v>
      </c>
      <c r="F20" s="25">
        <v>250.0</v>
      </c>
      <c r="G20" s="25">
        <v>0.0</v>
      </c>
      <c r="H20" s="25">
        <v>0.0</v>
      </c>
      <c r="I20" s="23" t="s">
        <v>21</v>
      </c>
      <c r="J20" s="23" t="s">
        <v>21</v>
      </c>
      <c r="K20" s="23" t="s">
        <v>36</v>
      </c>
      <c r="L20" s="23" t="s">
        <v>78</v>
      </c>
      <c r="M20" s="23"/>
      <c r="N20" s="23" t="s">
        <v>25</v>
      </c>
      <c r="O20" s="23" t="s">
        <v>43</v>
      </c>
    </row>
    <row r="21">
      <c r="A21" s="26" t="str">
        <f>HYPERLINK("https://bdgrowthsuite.com/tools/sendinblue-s-tracking-integration", "View Tool")</f>
        <v>View Tool</v>
      </c>
      <c r="B21" s="27" t="s">
        <v>174</v>
      </c>
      <c r="C21" s="27"/>
      <c r="D21" s="27"/>
      <c r="E21" s="28" t="s">
        <v>147</v>
      </c>
      <c r="F21" s="29">
        <v>50.0</v>
      </c>
      <c r="G21" s="29">
        <v>0.0</v>
      </c>
      <c r="H21" s="29">
        <v>0.0</v>
      </c>
      <c r="I21" s="27" t="s">
        <v>21</v>
      </c>
      <c r="J21" s="27" t="s">
        <v>21</v>
      </c>
      <c r="K21" s="27" t="s">
        <v>148</v>
      </c>
      <c r="L21" s="27"/>
      <c r="M21" s="27"/>
      <c r="N21" s="27"/>
      <c r="O21" s="27"/>
    </row>
    <row r="22">
      <c r="A22" s="22" t="str">
        <f>HYPERLINK("https://bdgrowthsuite.com/tools/step-by-step-article-how-to-create-your-business-listing-on-the-directory", "View Tool")</f>
        <v>View Tool</v>
      </c>
      <c r="B22" s="23" t="s">
        <v>175</v>
      </c>
      <c r="C22" s="23"/>
      <c r="D22" s="23"/>
      <c r="E22" s="24" t="s">
        <v>147</v>
      </c>
      <c r="F22" s="25">
        <v>90.0</v>
      </c>
      <c r="G22" s="25">
        <v>0.0</v>
      </c>
      <c r="H22" s="25">
        <v>0.0</v>
      </c>
      <c r="I22" s="23" t="s">
        <v>21</v>
      </c>
      <c r="J22" s="23" t="s">
        <v>21</v>
      </c>
      <c r="K22" s="23" t="s">
        <v>176</v>
      </c>
      <c r="L22" s="23"/>
      <c r="M22" s="23"/>
      <c r="N22" s="23"/>
      <c r="O22" s="23"/>
    </row>
    <row r="23">
      <c r="A23" s="26" t="str">
        <f>HYPERLINK("https://bdgrowthsuite.com/tools/video-on-no-search-results-page", "View Tool")</f>
        <v>View Tool</v>
      </c>
      <c r="B23" s="27" t="s">
        <v>177</v>
      </c>
      <c r="C23" s="27"/>
      <c r="D23" s="27"/>
      <c r="E23" s="28" t="s">
        <v>147</v>
      </c>
      <c r="F23" s="29">
        <v>30.0</v>
      </c>
      <c r="G23" s="29">
        <v>0.0</v>
      </c>
      <c r="H23" s="29">
        <v>0.0</v>
      </c>
      <c r="I23" s="27" t="s">
        <v>21</v>
      </c>
      <c r="J23" s="27" t="s">
        <v>21</v>
      </c>
      <c r="K23" s="27" t="s">
        <v>55</v>
      </c>
      <c r="L23" s="27"/>
      <c r="M23" s="27"/>
      <c r="N23" s="27"/>
      <c r="O23" s="27"/>
    </row>
    <row r="24">
      <c r="A24" s="22" t="str">
        <f>HYPERLINK("https://bdgrowthsuite.com/tools/video-or-form-installation", "View Tool")</f>
        <v>View Tool</v>
      </c>
      <c r="B24" s="23" t="s">
        <v>178</v>
      </c>
      <c r="C24" s="23"/>
      <c r="D24" s="23"/>
      <c r="E24" s="24" t="s">
        <v>147</v>
      </c>
      <c r="F24" s="25">
        <v>30.0</v>
      </c>
      <c r="G24" s="25">
        <v>0.0</v>
      </c>
      <c r="H24" s="25">
        <v>0.0</v>
      </c>
      <c r="I24" s="23" t="s">
        <v>21</v>
      </c>
      <c r="J24" s="23" t="s">
        <v>21</v>
      </c>
      <c r="K24" s="23" t="s">
        <v>179</v>
      </c>
      <c r="L24" s="23"/>
      <c r="M24" s="23"/>
      <c r="N24" s="23"/>
      <c r="O24" s="23"/>
    </row>
    <row r="25">
      <c r="A25" s="26" t="str">
        <f>HYPERLINK("https://bdgrowthsuite.com/tools/video-how-to-create-your-business-listing-on-the-directory", "View Tool")</f>
        <v>View Tool</v>
      </c>
      <c r="B25" s="27" t="s">
        <v>180</v>
      </c>
      <c r="C25" s="27"/>
      <c r="D25" s="27"/>
      <c r="E25" s="28" t="s">
        <v>147</v>
      </c>
      <c r="F25" s="29">
        <v>175.0</v>
      </c>
      <c r="G25" s="29">
        <v>0.0</v>
      </c>
      <c r="H25" s="29">
        <v>0.0</v>
      </c>
      <c r="I25" s="27" t="s">
        <v>21</v>
      </c>
      <c r="J25" s="27" t="s">
        <v>21</v>
      </c>
      <c r="K25" s="27" t="s">
        <v>176</v>
      </c>
      <c r="L25" s="27"/>
      <c r="M25" s="27"/>
      <c r="N25" s="27"/>
      <c r="O25" s="27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</sheetData>
  <autoFilter ref="$A$1:$O$25">
    <sortState ref="A1:O25">
      <sortCondition ref="B1:B25"/>
    </sortState>
  </autoFilter>
  <dataValidations>
    <dataValidation type="list" allowBlank="1" sqref="N2:N25">
      <formula1>"Semi custom,Ready to implement,Quick,Fully custom"</formula1>
    </dataValidation>
    <dataValidation type="list" allowBlank="1" sqref="O2:O25">
      <formula1>"3 days,1 week,2 weeks"</formula1>
    </dataValidation>
    <dataValidation type="list" allowBlank="1" sqref="E2:E25">
      <formula1>"Draft,Published,Pending"</formula1>
    </dataValidation>
    <dataValidation type="list" allowBlank="1" sqref="L2:L25">
      <formula1>"Fixed price,Ask for quote,Starts from,Subscription"</formula1>
    </dataValidation>
    <dataValidation type="list" allowBlank="1" sqref="M2:M25">
      <formula1>"Quick service,Flagship service,Service,Tool"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25"/>
    <col customWidth="1" min="2" max="2" width="43.75"/>
    <col customWidth="1" min="3" max="3" width="19.75"/>
    <col customWidth="1" min="4" max="4" width="19.63"/>
    <col customWidth="1" min="5" max="5" width="12.0"/>
    <col customWidth="1" min="6" max="6" width="11.75"/>
    <col customWidth="1" min="7" max="7" width="10.25"/>
    <col customWidth="1" min="8" max="8" width="10.88"/>
    <col customWidth="1" min="9" max="9" width="10.63"/>
    <col customWidth="1" min="10" max="10" width="10.0"/>
    <col customWidth="1" min="11" max="11" width="21.63"/>
    <col customWidth="1" min="12" max="12" width="16.5"/>
    <col customWidth="1" min="13" max="13" width="16.88"/>
    <col customWidth="1" min="14" max="14" width="21.13"/>
    <col customWidth="1" min="15" max="15" width="15.5"/>
  </cols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30" t="s">
        <v>13</v>
      </c>
      <c r="N1" s="30" t="s">
        <v>14</v>
      </c>
      <c r="O1" s="30" t="s">
        <v>15</v>
      </c>
    </row>
    <row r="2">
      <c r="A2" s="31" t="str">
        <f>HYPERLINK("https://bdgrowthsuite.com/tools/mailchimp-integration-for-member-signup", "View Tool")</f>
        <v>View Tool</v>
      </c>
      <c r="B2" s="32" t="s">
        <v>181</v>
      </c>
      <c r="C2" s="32" t="s">
        <v>182</v>
      </c>
      <c r="D2" s="32"/>
      <c r="E2" s="32" t="s">
        <v>183</v>
      </c>
      <c r="F2" s="33">
        <v>50.0</v>
      </c>
      <c r="G2" s="33">
        <v>0.0</v>
      </c>
      <c r="H2" s="33">
        <v>0.0</v>
      </c>
      <c r="I2" s="32" t="s">
        <v>21</v>
      </c>
      <c r="J2" s="32" t="s">
        <v>30</v>
      </c>
      <c r="K2" s="32" t="s">
        <v>19</v>
      </c>
      <c r="L2" s="32" t="s">
        <v>23</v>
      </c>
      <c r="M2" s="32" t="s">
        <v>24</v>
      </c>
      <c r="N2" s="32" t="s">
        <v>42</v>
      </c>
      <c r="O2" s="32" t="s">
        <v>26</v>
      </c>
    </row>
    <row r="3">
      <c r="A3" s="31" t="str">
        <f>HYPERLINK("https://bdgrowthsuite.com/tools/faq-page-with-faq-management-plugin", "View Tool")</f>
        <v>View Tool</v>
      </c>
      <c r="B3" s="32" t="s">
        <v>184</v>
      </c>
      <c r="C3" s="32" t="s">
        <v>185</v>
      </c>
      <c r="D3" s="32"/>
      <c r="E3" s="32" t="s">
        <v>183</v>
      </c>
      <c r="F3" s="33">
        <v>100.0</v>
      </c>
      <c r="G3" s="33">
        <v>0.0</v>
      </c>
      <c r="H3" s="33">
        <v>0.0</v>
      </c>
      <c r="I3" s="32" t="s">
        <v>21</v>
      </c>
      <c r="J3" s="32" t="s">
        <v>21</v>
      </c>
      <c r="K3" s="32" t="s">
        <v>55</v>
      </c>
      <c r="L3" s="32" t="s">
        <v>23</v>
      </c>
      <c r="M3" s="34"/>
      <c r="N3" s="32" t="s">
        <v>37</v>
      </c>
      <c r="O3" s="32" t="s">
        <v>43</v>
      </c>
    </row>
    <row r="4">
      <c r="A4" s="31" t="str">
        <f>HYPERLINK("https://bdgrowthsuite.com/tools/custom-badge-display-on-search-results-page", "View Tool")</f>
        <v>View Tool</v>
      </c>
      <c r="B4" s="32" t="s">
        <v>186</v>
      </c>
      <c r="C4" s="32" t="s">
        <v>187</v>
      </c>
      <c r="D4" s="32"/>
      <c r="E4" s="32" t="s">
        <v>183</v>
      </c>
      <c r="F4" s="33">
        <v>20.0</v>
      </c>
      <c r="G4" s="33">
        <v>399.0</v>
      </c>
      <c r="H4" s="33">
        <v>0.0</v>
      </c>
      <c r="I4" s="32" t="s">
        <v>21</v>
      </c>
      <c r="J4" s="32" t="s">
        <v>30</v>
      </c>
      <c r="K4" s="32" t="s">
        <v>31</v>
      </c>
      <c r="L4" s="32" t="s">
        <v>23</v>
      </c>
      <c r="M4" s="32" t="s">
        <v>24</v>
      </c>
      <c r="N4" s="32" t="s">
        <v>42</v>
      </c>
      <c r="O4" s="32" t="s">
        <v>43</v>
      </c>
    </row>
    <row r="5">
      <c r="A5" s="31" t="str">
        <f>HYPERLINK("https://bdgrowthsuite.com/tools/schema-for-category-search-results-page", "View Tool")</f>
        <v>View Tool</v>
      </c>
      <c r="B5" s="32" t="s">
        <v>188</v>
      </c>
      <c r="C5" s="32" t="s">
        <v>189</v>
      </c>
      <c r="D5" s="32"/>
      <c r="E5" s="32" t="s">
        <v>183</v>
      </c>
      <c r="F5" s="33">
        <v>250.0</v>
      </c>
      <c r="G5" s="33">
        <v>0.0</v>
      </c>
      <c r="H5" s="33">
        <v>0.0</v>
      </c>
      <c r="I5" s="32" t="s">
        <v>21</v>
      </c>
      <c r="J5" s="32" t="s">
        <v>30</v>
      </c>
      <c r="K5" s="32" t="s">
        <v>55</v>
      </c>
      <c r="L5" s="32" t="s">
        <v>23</v>
      </c>
      <c r="M5" s="32" t="s">
        <v>24</v>
      </c>
      <c r="N5" s="32" t="s">
        <v>37</v>
      </c>
      <c r="O5" s="32" t="s">
        <v>32</v>
      </c>
    </row>
    <row r="6">
      <c r="A6" s="31" t="str">
        <f>HYPERLINK("https://bdgrowthsuite.com/tools/schema-for-events-search-results-page", "View Tool")</f>
        <v>View Tool</v>
      </c>
      <c r="B6" s="32" t="s">
        <v>190</v>
      </c>
      <c r="C6" s="32" t="s">
        <v>191</v>
      </c>
      <c r="D6" s="32" t="s">
        <v>191</v>
      </c>
      <c r="E6" s="32" t="s">
        <v>183</v>
      </c>
      <c r="F6" s="33">
        <v>250.0</v>
      </c>
      <c r="G6" s="33">
        <v>0.0</v>
      </c>
      <c r="H6" s="33">
        <v>0.0</v>
      </c>
      <c r="I6" s="32" t="s">
        <v>21</v>
      </c>
      <c r="J6" s="32" t="s">
        <v>21</v>
      </c>
      <c r="K6" s="32" t="s">
        <v>55</v>
      </c>
      <c r="L6" s="32" t="s">
        <v>23</v>
      </c>
      <c r="M6" s="32"/>
      <c r="N6" s="32" t="s">
        <v>25</v>
      </c>
      <c r="O6" s="32" t="s">
        <v>32</v>
      </c>
    </row>
    <row r="7">
      <c r="A7" s="31" t="str">
        <f>HYPERLINK("https://bdgrowthsuite.com/tools/add-job-schema-to-brilliant-directories-job-detail-pages", "View Tool")</f>
        <v>View Tool</v>
      </c>
      <c r="B7" s="32" t="s">
        <v>192</v>
      </c>
      <c r="C7" s="32" t="s">
        <v>193</v>
      </c>
      <c r="D7" s="32"/>
      <c r="E7" s="32" t="s">
        <v>183</v>
      </c>
      <c r="F7" s="33">
        <v>250.0</v>
      </c>
      <c r="G7" s="33">
        <v>0.0</v>
      </c>
      <c r="H7" s="33">
        <v>0.0</v>
      </c>
      <c r="I7" s="32" t="s">
        <v>21</v>
      </c>
      <c r="J7" s="32" t="s">
        <v>21</v>
      </c>
      <c r="K7" s="32" t="s">
        <v>55</v>
      </c>
      <c r="L7" s="32" t="s">
        <v>23</v>
      </c>
      <c r="M7" s="34"/>
      <c r="N7" s="32" t="s">
        <v>42</v>
      </c>
      <c r="O7" s="32" t="s">
        <v>26</v>
      </c>
    </row>
    <row r="8">
      <c r="A8" s="31" t="str">
        <f>HYPERLINK("https://bdgrowthsuite.com/tools/custom-sitemap-of-member-profile-pages", "View Tool")</f>
        <v>View Tool</v>
      </c>
      <c r="B8" s="32" t="s">
        <v>194</v>
      </c>
      <c r="C8" s="32" t="s">
        <v>195</v>
      </c>
      <c r="D8" s="32"/>
      <c r="E8" s="32" t="s">
        <v>183</v>
      </c>
      <c r="F8" s="33">
        <v>250.0</v>
      </c>
      <c r="G8" s="33">
        <v>0.0</v>
      </c>
      <c r="H8" s="33">
        <v>0.0</v>
      </c>
      <c r="I8" s="32" t="s">
        <v>21</v>
      </c>
      <c r="J8" s="32" t="s">
        <v>21</v>
      </c>
      <c r="K8" s="32" t="s">
        <v>55</v>
      </c>
      <c r="L8" s="32" t="s">
        <v>23</v>
      </c>
      <c r="M8" s="34"/>
      <c r="N8" s="32" t="s">
        <v>42</v>
      </c>
      <c r="O8" s="32" t="s">
        <v>26</v>
      </c>
    </row>
    <row r="9">
      <c r="A9" s="31" t="str">
        <f>HYPERLINK("https://bdgrowthsuite.com/tools/custom-sitemap-for-search-results-pages", "View Tool")</f>
        <v>View Tool</v>
      </c>
      <c r="B9" s="32" t="s">
        <v>196</v>
      </c>
      <c r="C9" s="32" t="s">
        <v>197</v>
      </c>
      <c r="D9" s="32"/>
      <c r="E9" s="32" t="s">
        <v>183</v>
      </c>
      <c r="F9" s="33">
        <v>250.0</v>
      </c>
      <c r="G9" s="33">
        <v>0.0</v>
      </c>
      <c r="H9" s="33">
        <v>0.0</v>
      </c>
      <c r="I9" s="32" t="s">
        <v>21</v>
      </c>
      <c r="J9" s="32" t="s">
        <v>21</v>
      </c>
      <c r="K9" s="32" t="s">
        <v>55</v>
      </c>
      <c r="L9" s="32" t="s">
        <v>23</v>
      </c>
      <c r="M9" s="34"/>
      <c r="N9" s="32" t="s">
        <v>42</v>
      </c>
      <c r="O9" s="32" t="s">
        <v>26</v>
      </c>
    </row>
    <row r="10">
      <c r="A10" s="31" t="str">
        <f>HYPERLINK("https://bdgrowthsuite.com/tools/custom-sitemap-for-events-results-pages", "View Tool")</f>
        <v>View Tool</v>
      </c>
      <c r="B10" s="32" t="s">
        <v>198</v>
      </c>
      <c r="C10" s="32" t="s">
        <v>199</v>
      </c>
      <c r="D10" s="32"/>
      <c r="E10" s="32" t="s">
        <v>183</v>
      </c>
      <c r="F10" s="33">
        <v>250.0</v>
      </c>
      <c r="G10" s="33">
        <v>0.0</v>
      </c>
      <c r="H10" s="33">
        <v>0.0</v>
      </c>
      <c r="I10" s="32" t="s">
        <v>21</v>
      </c>
      <c r="J10" s="32" t="s">
        <v>21</v>
      </c>
      <c r="K10" s="32" t="s">
        <v>55</v>
      </c>
      <c r="L10" s="32" t="s">
        <v>23</v>
      </c>
      <c r="M10" s="34"/>
      <c r="N10" s="32" t="s">
        <v>42</v>
      </c>
      <c r="O10" s="32" t="s">
        <v>26</v>
      </c>
    </row>
    <row r="11">
      <c r="A11" s="31" t="str">
        <f>HYPERLINK("https://bdgrowthsuite.com/tools/custom-sitemap-for-events", "View Tool")</f>
        <v>View Tool</v>
      </c>
      <c r="B11" s="32" t="s">
        <v>200</v>
      </c>
      <c r="C11" s="32" t="s">
        <v>201</v>
      </c>
      <c r="D11" s="32"/>
      <c r="E11" s="32" t="s">
        <v>183</v>
      </c>
      <c r="F11" s="33">
        <v>250.0</v>
      </c>
      <c r="G11" s="33">
        <v>0.0</v>
      </c>
      <c r="H11" s="33">
        <v>0.0</v>
      </c>
      <c r="I11" s="32" t="s">
        <v>21</v>
      </c>
      <c r="J11" s="32" t="s">
        <v>21</v>
      </c>
      <c r="K11" s="32" t="s">
        <v>55</v>
      </c>
      <c r="L11" s="32" t="s">
        <v>23</v>
      </c>
      <c r="M11" s="34"/>
      <c r="N11" s="32" t="s">
        <v>42</v>
      </c>
      <c r="O11" s="32" t="s">
        <v>26</v>
      </c>
    </row>
    <row r="12">
      <c r="A12" s="31" t="str">
        <f>HYPERLINK("https://bdgrowthsuite.com/tools/custom-sitemap-for-job-listings", "View Tool")</f>
        <v>View Tool</v>
      </c>
      <c r="B12" s="32" t="s">
        <v>202</v>
      </c>
      <c r="C12" s="32" t="s">
        <v>203</v>
      </c>
      <c r="D12" s="32"/>
      <c r="E12" s="32" t="s">
        <v>183</v>
      </c>
      <c r="F12" s="33">
        <v>250.0</v>
      </c>
      <c r="G12" s="33">
        <v>0.0</v>
      </c>
      <c r="H12" s="33">
        <v>0.0</v>
      </c>
      <c r="I12" s="32" t="s">
        <v>21</v>
      </c>
      <c r="J12" s="32" t="s">
        <v>21</v>
      </c>
      <c r="K12" s="32" t="s">
        <v>55</v>
      </c>
      <c r="L12" s="32" t="s">
        <v>23</v>
      </c>
      <c r="M12" s="34"/>
      <c r="N12" s="32" t="s">
        <v>42</v>
      </c>
      <c r="O12" s="32" t="s">
        <v>26</v>
      </c>
    </row>
    <row r="13">
      <c r="A13" s="31" t="str">
        <f>HYPERLINK("https://bdgrowthsuite.com/tools/custom-sitemap-for-articles-results-pages", "View Tool")</f>
        <v>View Tool</v>
      </c>
      <c r="B13" s="32" t="s">
        <v>204</v>
      </c>
      <c r="C13" s="32" t="s">
        <v>205</v>
      </c>
      <c r="D13" s="32"/>
      <c r="E13" s="32" t="s">
        <v>183</v>
      </c>
      <c r="F13" s="33">
        <v>250.0</v>
      </c>
      <c r="G13" s="33">
        <v>0.0</v>
      </c>
      <c r="H13" s="33">
        <v>0.0</v>
      </c>
      <c r="I13" s="32" t="s">
        <v>21</v>
      </c>
      <c r="J13" s="32" t="s">
        <v>21</v>
      </c>
      <c r="K13" s="32" t="s">
        <v>55</v>
      </c>
      <c r="L13" s="32" t="s">
        <v>23</v>
      </c>
      <c r="M13" s="34"/>
      <c r="N13" s="32" t="s">
        <v>42</v>
      </c>
      <c r="O13" s="32" t="s">
        <v>26</v>
      </c>
    </row>
    <row r="14">
      <c r="A14" s="31" t="str">
        <f>HYPERLINK("https://bdgrowthsuite.com/tools/custom-sitemap-for-articles", "View Tool")</f>
        <v>View Tool</v>
      </c>
      <c r="B14" s="32" t="s">
        <v>206</v>
      </c>
      <c r="C14" s="32" t="s">
        <v>207</v>
      </c>
      <c r="D14" s="32"/>
      <c r="E14" s="32" t="s">
        <v>183</v>
      </c>
      <c r="F14" s="33">
        <v>250.0</v>
      </c>
      <c r="G14" s="33">
        <v>0.0</v>
      </c>
      <c r="H14" s="33">
        <v>0.0</v>
      </c>
      <c r="I14" s="32" t="s">
        <v>21</v>
      </c>
      <c r="J14" s="32" t="s">
        <v>21</v>
      </c>
      <c r="K14" s="32" t="s">
        <v>55</v>
      </c>
      <c r="L14" s="32" t="s">
        <v>23</v>
      </c>
      <c r="M14" s="34"/>
      <c r="N14" s="32" t="s">
        <v>42</v>
      </c>
      <c r="O14" s="32" t="s">
        <v>26</v>
      </c>
    </row>
    <row r="15">
      <c r="A15" s="31" t="str">
        <f>HYPERLINK("https://bdgrowthsuite.com/tools/custom-sitemap-for-jobs-results-pages", "View Tool")</f>
        <v>View Tool</v>
      </c>
      <c r="B15" s="32" t="s">
        <v>208</v>
      </c>
      <c r="C15" s="32" t="s">
        <v>209</v>
      </c>
      <c r="D15" s="32"/>
      <c r="E15" s="32" t="s">
        <v>183</v>
      </c>
      <c r="F15" s="33">
        <v>250.0</v>
      </c>
      <c r="G15" s="33">
        <v>0.0</v>
      </c>
      <c r="H15" s="33">
        <v>0.0</v>
      </c>
      <c r="I15" s="32" t="s">
        <v>21</v>
      </c>
      <c r="J15" s="32" t="s">
        <v>21</v>
      </c>
      <c r="K15" s="32" t="s">
        <v>55</v>
      </c>
      <c r="L15" s="32" t="s">
        <v>23</v>
      </c>
      <c r="M15" s="34"/>
      <c r="N15" s="32" t="s">
        <v>42</v>
      </c>
      <c r="O15" s="32" t="s">
        <v>26</v>
      </c>
    </row>
    <row r="16">
      <c r="A16" s="31" t="str">
        <f>HYPERLINK("https://bdgrowthsuite.com/tools/members-approval-flow", "View Tool")</f>
        <v>View Tool</v>
      </c>
      <c r="B16" s="32" t="s">
        <v>210</v>
      </c>
      <c r="C16" s="32" t="s">
        <v>211</v>
      </c>
      <c r="D16" s="32"/>
      <c r="E16" s="32" t="s">
        <v>183</v>
      </c>
      <c r="F16" s="33">
        <v>1800.0</v>
      </c>
      <c r="G16" s="33">
        <v>0.0</v>
      </c>
      <c r="H16" s="33">
        <v>0.0</v>
      </c>
      <c r="I16" s="32" t="s">
        <v>21</v>
      </c>
      <c r="J16" s="32" t="s">
        <v>21</v>
      </c>
      <c r="K16" s="32" t="s">
        <v>36</v>
      </c>
      <c r="L16" s="32" t="s">
        <v>23</v>
      </c>
      <c r="M16" s="34"/>
      <c r="N16" s="32" t="s">
        <v>42</v>
      </c>
      <c r="O16" s="32" t="s">
        <v>26</v>
      </c>
    </row>
    <row r="17">
      <c r="A17" s="31" t="str">
        <f>HYPERLINK("https://bdgrowthsuite.com/tools/seo-consulting-call-for-your-brilliant-directories-website", "View Tool")</f>
        <v>View Tool</v>
      </c>
      <c r="B17" s="32" t="s">
        <v>212</v>
      </c>
      <c r="C17" s="32" t="s">
        <v>213</v>
      </c>
      <c r="D17" s="32"/>
      <c r="E17" s="32" t="s">
        <v>183</v>
      </c>
      <c r="F17" s="33">
        <v>250.0</v>
      </c>
      <c r="G17" s="33">
        <v>0.0</v>
      </c>
      <c r="H17" s="33">
        <v>0.0</v>
      </c>
      <c r="I17" s="32" t="s">
        <v>21</v>
      </c>
      <c r="J17" s="32" t="s">
        <v>21</v>
      </c>
      <c r="K17" s="32" t="s">
        <v>214</v>
      </c>
      <c r="L17" s="32" t="s">
        <v>23</v>
      </c>
      <c r="M17" s="34"/>
      <c r="N17" s="32" t="s">
        <v>80</v>
      </c>
      <c r="O17" s="32" t="s">
        <v>26</v>
      </c>
    </row>
    <row r="18">
      <c r="A18" s="31" t="str">
        <f>HYPERLINK("https://bdgrowthsuite.com/tools/custom-homepage-design", "View Tool")</f>
        <v>View Tool</v>
      </c>
      <c r="B18" s="32" t="s">
        <v>215</v>
      </c>
      <c r="C18" s="32" t="s">
        <v>216</v>
      </c>
      <c r="D18" s="32" t="s">
        <v>216</v>
      </c>
      <c r="E18" s="32" t="s">
        <v>183</v>
      </c>
      <c r="F18" s="33">
        <v>250.0</v>
      </c>
      <c r="G18" s="33">
        <v>399.0</v>
      </c>
      <c r="H18" s="33">
        <v>50.0</v>
      </c>
      <c r="I18" s="32" t="s">
        <v>21</v>
      </c>
      <c r="J18" s="32" t="s">
        <v>30</v>
      </c>
      <c r="K18" s="32" t="s">
        <v>126</v>
      </c>
      <c r="L18" s="32" t="s">
        <v>78</v>
      </c>
      <c r="M18" s="32" t="s">
        <v>65</v>
      </c>
      <c r="N18" s="32" t="s">
        <v>80</v>
      </c>
      <c r="O18" s="32" t="s">
        <v>32</v>
      </c>
    </row>
    <row r="19">
      <c r="A19" s="31" t="str">
        <f>HYPERLINK("https://bdgrowthsuite.com/tools/how-to-enhance-member-profile-page-on-directory", "View Tool")</f>
        <v>View Tool</v>
      </c>
      <c r="B19" s="32" t="s">
        <v>217</v>
      </c>
      <c r="C19" s="32" t="s">
        <v>218</v>
      </c>
      <c r="D19" s="32"/>
      <c r="E19" s="32" t="s">
        <v>183</v>
      </c>
      <c r="F19" s="33">
        <v>99.0</v>
      </c>
      <c r="G19" s="33">
        <v>399.0</v>
      </c>
      <c r="H19" s="33">
        <v>50.0</v>
      </c>
      <c r="I19" s="32" t="s">
        <v>21</v>
      </c>
      <c r="J19" s="32" t="s">
        <v>30</v>
      </c>
      <c r="K19" s="32" t="s">
        <v>55</v>
      </c>
      <c r="L19" s="32" t="s">
        <v>78</v>
      </c>
      <c r="M19" s="32" t="s">
        <v>24</v>
      </c>
      <c r="N19" s="32" t="s">
        <v>25</v>
      </c>
      <c r="O19" s="32" t="s">
        <v>26</v>
      </c>
    </row>
    <row r="20">
      <c r="A20" s="31" t="str">
        <f>HYPERLINK("https://bdgrowthsuite.com/tools/ui-ux-page-design-home-page", "View Tool")</f>
        <v>View Tool</v>
      </c>
      <c r="B20" s="32" t="s">
        <v>219</v>
      </c>
      <c r="C20" s="32" t="s">
        <v>220</v>
      </c>
      <c r="D20" s="32"/>
      <c r="E20" s="32" t="s">
        <v>183</v>
      </c>
      <c r="F20" s="33">
        <v>250.0</v>
      </c>
      <c r="G20" s="33">
        <v>0.0</v>
      </c>
      <c r="H20" s="33">
        <v>0.0</v>
      </c>
      <c r="I20" s="32" t="s">
        <v>21</v>
      </c>
      <c r="J20" s="32" t="s">
        <v>21</v>
      </c>
      <c r="K20" s="32" t="s">
        <v>221</v>
      </c>
      <c r="L20" s="32" t="s">
        <v>78</v>
      </c>
      <c r="M20" s="34"/>
      <c r="N20" s="32" t="s">
        <v>80</v>
      </c>
      <c r="O20" s="32" t="s">
        <v>32</v>
      </c>
    </row>
    <row r="21">
      <c r="A21" s="31" t="str">
        <f>HYPERLINK("https://bdgrowthsuite.com/tools/ui-ux-page-design-join-page", "View Tool")</f>
        <v>View Tool</v>
      </c>
      <c r="B21" s="32" t="s">
        <v>222</v>
      </c>
      <c r="C21" s="32"/>
      <c r="D21" s="32"/>
      <c r="E21" s="32" t="s">
        <v>183</v>
      </c>
      <c r="F21" s="33">
        <v>300.0</v>
      </c>
      <c r="G21" s="33">
        <v>0.0</v>
      </c>
      <c r="H21" s="33">
        <v>0.0</v>
      </c>
      <c r="I21" s="32" t="s">
        <v>21</v>
      </c>
      <c r="J21" s="32" t="s">
        <v>21</v>
      </c>
      <c r="K21" s="32" t="s">
        <v>221</v>
      </c>
      <c r="L21" s="32" t="s">
        <v>78</v>
      </c>
      <c r="M21" s="34"/>
      <c r="N21" s="32" t="s">
        <v>42</v>
      </c>
      <c r="O21" s="32" t="s">
        <v>26</v>
      </c>
    </row>
    <row r="22">
      <c r="A22" s="31" t="str">
        <f>HYPERLINK("https://bdgrowthsuite.com/tools/ui-ux-page-design-how-it-works-page", "View Tool")</f>
        <v>View Tool</v>
      </c>
      <c r="B22" s="32" t="s">
        <v>223</v>
      </c>
      <c r="C22" s="32"/>
      <c r="D22" s="32"/>
      <c r="E22" s="32" t="s">
        <v>183</v>
      </c>
      <c r="F22" s="33">
        <v>300.0</v>
      </c>
      <c r="G22" s="33">
        <v>0.0</v>
      </c>
      <c r="H22" s="33">
        <v>0.0</v>
      </c>
      <c r="I22" s="32" t="s">
        <v>21</v>
      </c>
      <c r="J22" s="32" t="s">
        <v>21</v>
      </c>
      <c r="K22" s="32" t="s">
        <v>126</v>
      </c>
      <c r="L22" s="34"/>
      <c r="M22" s="34"/>
      <c r="N22" s="34"/>
      <c r="O22" s="34"/>
    </row>
    <row r="23">
      <c r="A23" s="31" t="str">
        <f>HYPERLINK("https://bdgrowthsuite.com/tools/ui-ux-page-design-member-profile-detail-page", "View Tool")</f>
        <v>View Tool</v>
      </c>
      <c r="B23" s="32" t="s">
        <v>224</v>
      </c>
      <c r="C23" s="32"/>
      <c r="D23" s="32"/>
      <c r="E23" s="32" t="s">
        <v>183</v>
      </c>
      <c r="F23" s="33">
        <v>300.0</v>
      </c>
      <c r="G23" s="33">
        <v>0.0</v>
      </c>
      <c r="H23" s="33">
        <v>0.0</v>
      </c>
      <c r="I23" s="32" t="s">
        <v>21</v>
      </c>
      <c r="J23" s="32" t="s">
        <v>21</v>
      </c>
      <c r="K23" s="32" t="s">
        <v>221</v>
      </c>
      <c r="L23" s="32" t="s">
        <v>78</v>
      </c>
      <c r="M23" s="34"/>
      <c r="N23" s="32" t="s">
        <v>42</v>
      </c>
      <c r="O23" s="32" t="s">
        <v>26</v>
      </c>
    </row>
    <row r="24">
      <c r="A24" s="31" t="str">
        <f>HYPERLINK("https://bdgrowthsuite.com/tools/static-faq-page-design", "View Tool")</f>
        <v>View Tool</v>
      </c>
      <c r="B24" s="32" t="s">
        <v>225</v>
      </c>
      <c r="C24" s="32" t="s">
        <v>226</v>
      </c>
      <c r="D24" s="32"/>
      <c r="E24" s="32" t="s">
        <v>183</v>
      </c>
      <c r="F24" s="33">
        <v>50.0</v>
      </c>
      <c r="G24" s="33">
        <v>0.0</v>
      </c>
      <c r="H24" s="33">
        <v>0.0</v>
      </c>
      <c r="I24" s="32" t="s">
        <v>21</v>
      </c>
      <c r="J24" s="32" t="s">
        <v>21</v>
      </c>
      <c r="K24" s="32" t="s">
        <v>126</v>
      </c>
      <c r="L24" s="32" t="s">
        <v>78</v>
      </c>
      <c r="M24" s="34"/>
      <c r="N24" s="32" t="s">
        <v>37</v>
      </c>
      <c r="O24" s="32" t="s">
        <v>43</v>
      </c>
    </row>
    <row r="25">
      <c r="A25" s="31" t="str">
        <f>HYPERLINK("https://bdgrowthsuite.com/tools/feature-member-s-on-other-member-profile", "View Tool")</f>
        <v>View Tool</v>
      </c>
      <c r="B25" s="32" t="s">
        <v>227</v>
      </c>
      <c r="C25" s="32" t="s">
        <v>228</v>
      </c>
      <c r="D25" s="32"/>
      <c r="E25" s="32" t="s">
        <v>183</v>
      </c>
      <c r="F25" s="33">
        <v>450.0</v>
      </c>
      <c r="G25" s="33">
        <v>0.0</v>
      </c>
      <c r="H25" s="33">
        <v>0.0</v>
      </c>
      <c r="I25" s="32" t="s">
        <v>21</v>
      </c>
      <c r="J25" s="32" t="s">
        <v>21</v>
      </c>
      <c r="K25" s="32" t="s">
        <v>55</v>
      </c>
      <c r="L25" s="32" t="s">
        <v>23</v>
      </c>
      <c r="M25" s="34"/>
      <c r="N25" s="32" t="s">
        <v>42</v>
      </c>
      <c r="O25" s="32" t="s">
        <v>26</v>
      </c>
    </row>
    <row r="26">
      <c r="A26" s="31" t="str">
        <f>HYPERLINK("https://bdgrowthsuite.com/tools/smart-cta-for-no-search-results-pages", "View Tool")</f>
        <v>View Tool</v>
      </c>
      <c r="B26" s="32" t="s">
        <v>229</v>
      </c>
      <c r="C26" s="32" t="s">
        <v>230</v>
      </c>
      <c r="D26" s="32"/>
      <c r="E26" s="32" t="s">
        <v>183</v>
      </c>
      <c r="F26" s="33">
        <v>50.0</v>
      </c>
      <c r="G26" s="33">
        <v>399.0</v>
      </c>
      <c r="H26" s="33">
        <v>0.0</v>
      </c>
      <c r="I26" s="32" t="s">
        <v>21</v>
      </c>
      <c r="J26" s="32" t="s">
        <v>30</v>
      </c>
      <c r="K26" s="32" t="s">
        <v>55</v>
      </c>
      <c r="L26" s="32" t="s">
        <v>23</v>
      </c>
      <c r="M26" s="32" t="s">
        <v>24</v>
      </c>
      <c r="N26" s="32" t="s">
        <v>25</v>
      </c>
      <c r="O26" s="32" t="s">
        <v>26</v>
      </c>
    </row>
    <row r="27">
      <c r="A27" s="31" t="str">
        <f>HYPERLINK("https://bdgrowthsuite.com/tools/phpbb-forum-setup-and-installation", "View Tool")</f>
        <v>View Tool</v>
      </c>
      <c r="B27" s="32" t="s">
        <v>231</v>
      </c>
      <c r="C27" s="32" t="s">
        <v>232</v>
      </c>
      <c r="D27" s="32"/>
      <c r="E27" s="32" t="s">
        <v>183</v>
      </c>
      <c r="F27" s="33">
        <v>95.0</v>
      </c>
      <c r="G27" s="33">
        <v>0.0</v>
      </c>
      <c r="H27" s="33">
        <v>0.0</v>
      </c>
      <c r="I27" s="32" t="s">
        <v>21</v>
      </c>
      <c r="J27" s="32" t="s">
        <v>21</v>
      </c>
      <c r="K27" s="32" t="s">
        <v>36</v>
      </c>
      <c r="L27" s="32" t="s">
        <v>23</v>
      </c>
      <c r="M27" s="34"/>
      <c r="N27" s="32" t="s">
        <v>37</v>
      </c>
      <c r="O27" s="32" t="s">
        <v>43</v>
      </c>
    </row>
    <row r="28">
      <c r="A28" s="31" t="str">
        <f>HYPERLINK("https://bdgrowthsuite.com/tools/additional-fields-on-listing-details-page", "View Tool")</f>
        <v>View Tool</v>
      </c>
      <c r="B28" s="32" t="s">
        <v>233</v>
      </c>
      <c r="C28" s="32" t="s">
        <v>234</v>
      </c>
      <c r="D28" s="32"/>
      <c r="E28" s="32" t="s">
        <v>183</v>
      </c>
      <c r="F28" s="33">
        <v>20.0</v>
      </c>
      <c r="G28" s="33">
        <v>0.0</v>
      </c>
      <c r="H28" s="33">
        <v>0.0</v>
      </c>
      <c r="I28" s="32" t="s">
        <v>21</v>
      </c>
      <c r="J28" s="32" t="s">
        <v>235</v>
      </c>
      <c r="K28" s="32" t="s">
        <v>41</v>
      </c>
      <c r="L28" s="32" t="s">
        <v>78</v>
      </c>
      <c r="M28" s="34"/>
      <c r="N28" s="32" t="s">
        <v>25</v>
      </c>
      <c r="O28" s="32" t="s">
        <v>26</v>
      </c>
    </row>
    <row r="29">
      <c r="A29" s="31" t="str">
        <f>HYPERLINK("https://bdgrowthsuite.com/tools/google-analytics-integration-for-directory-sites", "View Tool")</f>
        <v>View Tool</v>
      </c>
      <c r="B29" s="32" t="s">
        <v>236</v>
      </c>
      <c r="C29" s="32" t="s">
        <v>237</v>
      </c>
      <c r="D29" s="32"/>
      <c r="E29" s="32" t="s">
        <v>183</v>
      </c>
      <c r="F29" s="33">
        <v>50.0</v>
      </c>
      <c r="G29" s="33">
        <v>0.0</v>
      </c>
      <c r="H29" s="33">
        <v>0.0</v>
      </c>
      <c r="I29" s="32" t="s">
        <v>21</v>
      </c>
      <c r="J29" s="32" t="s">
        <v>30</v>
      </c>
      <c r="K29" s="32" t="s">
        <v>19</v>
      </c>
      <c r="L29" s="32" t="s">
        <v>23</v>
      </c>
      <c r="M29" s="32" t="s">
        <v>24</v>
      </c>
      <c r="N29" s="32" t="s">
        <v>42</v>
      </c>
      <c r="O29" s="32" t="s">
        <v>26</v>
      </c>
    </row>
    <row r="30">
      <c r="A30" s="31" t="str">
        <f>HYPERLINK("https://bdgrowthsuite.com/tools/meta-pixel-integration", "View Tool")</f>
        <v>View Tool</v>
      </c>
      <c r="B30" s="32" t="s">
        <v>238</v>
      </c>
      <c r="C30" s="32" t="s">
        <v>239</v>
      </c>
      <c r="D30" s="32"/>
      <c r="E30" s="32" t="s">
        <v>183</v>
      </c>
      <c r="F30" s="33">
        <v>100.0</v>
      </c>
      <c r="G30" s="33">
        <v>0.0</v>
      </c>
      <c r="H30" s="33">
        <v>0.0</v>
      </c>
      <c r="I30" s="32" t="s">
        <v>21</v>
      </c>
      <c r="J30" s="32" t="s">
        <v>21</v>
      </c>
      <c r="K30" s="32" t="s">
        <v>240</v>
      </c>
      <c r="L30" s="32" t="s">
        <v>23</v>
      </c>
      <c r="M30" s="34"/>
      <c r="N30" s="32" t="s">
        <v>42</v>
      </c>
      <c r="O30" s="32" t="s">
        <v>43</v>
      </c>
    </row>
    <row r="31">
      <c r="A31" s="31" t="str">
        <f>HYPERLINK("https://bdgrowthsuite.com/tools/how-to-add-google-reviews-to-member-profiles", "View Tool")</f>
        <v>View Tool</v>
      </c>
      <c r="B31" s="32" t="s">
        <v>241</v>
      </c>
      <c r="C31" s="32" t="s">
        <v>242</v>
      </c>
      <c r="D31" s="32"/>
      <c r="E31" s="32" t="s">
        <v>183</v>
      </c>
      <c r="F31" s="33">
        <v>250.0</v>
      </c>
      <c r="G31" s="33">
        <v>0.0</v>
      </c>
      <c r="H31" s="33">
        <v>0.0</v>
      </c>
      <c r="I31" s="32" t="s">
        <v>21</v>
      </c>
      <c r="J31" s="32" t="s">
        <v>30</v>
      </c>
      <c r="K31" s="32" t="s">
        <v>19</v>
      </c>
      <c r="L31" s="32" t="s">
        <v>23</v>
      </c>
      <c r="M31" s="32" t="s">
        <v>79</v>
      </c>
      <c r="N31" s="32" t="s">
        <v>42</v>
      </c>
      <c r="O31" s="32" t="s">
        <v>26</v>
      </c>
    </row>
    <row r="32">
      <c r="A32" s="31" t="str">
        <f>HYPERLINK("https://bdgrowthsuite.com/tools/search-results-faq-static", "View Tool")</f>
        <v>View Tool</v>
      </c>
      <c r="B32" s="32" t="s">
        <v>243</v>
      </c>
      <c r="C32" s="32" t="s">
        <v>244</v>
      </c>
      <c r="D32" s="32"/>
      <c r="E32" s="32" t="s">
        <v>183</v>
      </c>
      <c r="F32" s="33">
        <v>50.0</v>
      </c>
      <c r="G32" s="33">
        <v>0.0</v>
      </c>
      <c r="H32" s="33">
        <v>0.0</v>
      </c>
      <c r="I32" s="32" t="s">
        <v>21</v>
      </c>
      <c r="J32" s="32" t="s">
        <v>21</v>
      </c>
      <c r="K32" s="32" t="s">
        <v>126</v>
      </c>
      <c r="L32" s="32" t="s">
        <v>23</v>
      </c>
      <c r="M32" s="34"/>
      <c r="N32" s="32" t="s">
        <v>42</v>
      </c>
      <c r="O32" s="32" t="s">
        <v>43</v>
      </c>
    </row>
    <row r="33">
      <c r="A33" s="31" t="str">
        <f>HYPERLINK("https://bdgrowthsuite.com/tools/chatbot-integration", "View Tool")</f>
        <v>View Tool</v>
      </c>
      <c r="B33" s="32" t="s">
        <v>245</v>
      </c>
      <c r="C33" s="34"/>
      <c r="D33" s="32"/>
      <c r="E33" s="32" t="s">
        <v>183</v>
      </c>
      <c r="F33" s="33">
        <v>50.0</v>
      </c>
      <c r="G33" s="33">
        <v>0.0</v>
      </c>
      <c r="H33" s="33">
        <v>0.0</v>
      </c>
      <c r="I33" s="32" t="s">
        <v>21</v>
      </c>
      <c r="J33" s="32" t="s">
        <v>21</v>
      </c>
      <c r="K33" s="34"/>
      <c r="L33" s="34"/>
      <c r="M33" s="34"/>
      <c r="N33" s="32" t="s">
        <v>37</v>
      </c>
      <c r="O33" s="34"/>
    </row>
    <row r="34">
      <c r="A34" s="31" t="str">
        <f>HYPERLINK("https://bdgrowthsuite.com/tools/related-posts-for-blogs-%E2%80%93-you-may-also-like", "View Tool")</f>
        <v>View Tool</v>
      </c>
      <c r="B34" s="32" t="s">
        <v>246</v>
      </c>
      <c r="C34" s="32" t="s">
        <v>247</v>
      </c>
      <c r="D34" s="32"/>
      <c r="E34" s="32" t="s">
        <v>183</v>
      </c>
      <c r="F34" s="33">
        <v>50.0</v>
      </c>
      <c r="G34" s="33">
        <v>0.0</v>
      </c>
      <c r="H34" s="33">
        <v>0.0</v>
      </c>
      <c r="I34" s="32" t="s">
        <v>21</v>
      </c>
      <c r="J34" s="32" t="s">
        <v>30</v>
      </c>
      <c r="K34" s="32" t="s">
        <v>36</v>
      </c>
      <c r="L34" s="32" t="s">
        <v>23</v>
      </c>
      <c r="M34" s="32" t="s">
        <v>24</v>
      </c>
      <c r="N34" s="32" t="s">
        <v>42</v>
      </c>
      <c r="O34" s="32" t="s">
        <v>43</v>
      </c>
    </row>
    <row r="35">
      <c r="A35" s="31" t="str">
        <f>HYPERLINK("https://bdgrowthsuite.com/tools/custom-landing-page-design-for-directory-websites", "View Tool")</f>
        <v>View Tool</v>
      </c>
      <c r="B35" s="32" t="s">
        <v>248</v>
      </c>
      <c r="C35" s="32" t="s">
        <v>249</v>
      </c>
      <c r="D35" s="32"/>
      <c r="E35" s="32" t="s">
        <v>183</v>
      </c>
      <c r="F35" s="33">
        <v>450.0</v>
      </c>
      <c r="G35" s="33">
        <v>0.0</v>
      </c>
      <c r="H35" s="33">
        <v>0.0</v>
      </c>
      <c r="I35" s="32" t="s">
        <v>21</v>
      </c>
      <c r="J35" s="32" t="s">
        <v>30</v>
      </c>
      <c r="K35" s="32" t="s">
        <v>126</v>
      </c>
      <c r="L35" s="32" t="s">
        <v>23</v>
      </c>
      <c r="M35" s="32" t="s">
        <v>65</v>
      </c>
      <c r="N35" s="32" t="s">
        <v>25</v>
      </c>
      <c r="O35" s="32" t="s">
        <v>32</v>
      </c>
    </row>
    <row r="36">
      <c r="A36" s="31" t="str">
        <f>HYPERLINK("https://bdgrowthsuite.com/tools/foundational-seo-for-your-bd-website", "View Tool")</f>
        <v>View Tool</v>
      </c>
      <c r="B36" s="32" t="s">
        <v>250</v>
      </c>
      <c r="C36" s="32" t="s">
        <v>251</v>
      </c>
      <c r="D36" s="32"/>
      <c r="E36" s="32" t="s">
        <v>183</v>
      </c>
      <c r="F36" s="33">
        <v>1500.0</v>
      </c>
      <c r="G36" s="33">
        <v>0.0</v>
      </c>
      <c r="H36" s="33">
        <v>0.0</v>
      </c>
      <c r="I36" s="32" t="s">
        <v>21</v>
      </c>
      <c r="J36" s="32" t="s">
        <v>21</v>
      </c>
      <c r="K36" s="32" t="s">
        <v>240</v>
      </c>
      <c r="L36" s="32" t="s">
        <v>23</v>
      </c>
      <c r="M36" s="34"/>
      <c r="N36" s="32" t="s">
        <v>80</v>
      </c>
      <c r="O36" s="32" t="s">
        <v>252</v>
      </c>
    </row>
    <row r="37">
      <c r="A37" s="31" t="str">
        <f>HYPERLINK("https://bdgrowthsuite.com/tools/members-approval-plugin-for-directory-websites", "View Tool")</f>
        <v>View Tool</v>
      </c>
      <c r="B37" s="32" t="s">
        <v>253</v>
      </c>
      <c r="C37" s="32" t="s">
        <v>254</v>
      </c>
      <c r="D37" s="32"/>
      <c r="E37" s="32" t="s">
        <v>183</v>
      </c>
      <c r="F37" s="33">
        <v>49.0</v>
      </c>
      <c r="G37" s="33">
        <v>399.0</v>
      </c>
      <c r="H37" s="33">
        <v>0.0</v>
      </c>
      <c r="I37" s="32" t="s">
        <v>137</v>
      </c>
      <c r="J37" s="32" t="s">
        <v>30</v>
      </c>
      <c r="K37" s="32" t="s">
        <v>55</v>
      </c>
      <c r="L37" s="32" t="s">
        <v>138</v>
      </c>
      <c r="M37" s="32" t="s">
        <v>79</v>
      </c>
      <c r="N37" s="32" t="s">
        <v>42</v>
      </c>
      <c r="O37" s="32" t="s">
        <v>26</v>
      </c>
    </row>
    <row r="38">
      <c r="A38" s="31" t="str">
        <f>HYPERLINK("https://bdgrowthsuite.com/tools/video-preview-on-member-profiles-setup-guide", "View Tool")</f>
        <v>View Tool</v>
      </c>
      <c r="B38" s="32" t="s">
        <v>255</v>
      </c>
      <c r="C38" s="32" t="s">
        <v>256</v>
      </c>
      <c r="D38" s="32"/>
      <c r="E38" s="32" t="s">
        <v>183</v>
      </c>
      <c r="F38" s="33">
        <v>29.0</v>
      </c>
      <c r="G38" s="33">
        <v>0.0</v>
      </c>
      <c r="H38" s="33">
        <v>0.0</v>
      </c>
      <c r="I38" s="32" t="s">
        <v>257</v>
      </c>
      <c r="J38" s="32" t="s">
        <v>30</v>
      </c>
      <c r="K38" s="32" t="s">
        <v>36</v>
      </c>
      <c r="L38" s="32" t="s">
        <v>138</v>
      </c>
      <c r="M38" s="32" t="s">
        <v>79</v>
      </c>
      <c r="N38" s="32" t="s">
        <v>42</v>
      </c>
      <c r="O38" s="32" t="s">
        <v>26</v>
      </c>
    </row>
    <row r="39">
      <c r="A39" s="31" t="str">
        <f>HYPERLINK("https://bdgrowthsuite.com/tools/floating-social-media-icons-for-directory-websites", "View Tool")</f>
        <v>View Tool</v>
      </c>
      <c r="B39" s="32" t="s">
        <v>258</v>
      </c>
      <c r="C39" s="32" t="s">
        <v>259</v>
      </c>
      <c r="D39" s="32"/>
      <c r="E39" s="32" t="s">
        <v>183</v>
      </c>
      <c r="F39" s="33">
        <v>20.0</v>
      </c>
      <c r="G39" s="33">
        <v>0.0</v>
      </c>
      <c r="H39" s="33">
        <v>0.0</v>
      </c>
      <c r="I39" s="32" t="s">
        <v>21</v>
      </c>
      <c r="J39" s="32" t="s">
        <v>30</v>
      </c>
      <c r="K39" s="32" t="s">
        <v>260</v>
      </c>
      <c r="L39" s="32" t="s">
        <v>23</v>
      </c>
      <c r="M39" s="32" t="s">
        <v>24</v>
      </c>
      <c r="N39" s="32" t="s">
        <v>42</v>
      </c>
      <c r="O39" s="32" t="s">
        <v>43</v>
      </c>
    </row>
    <row r="40">
      <c r="A40" s="31" t="str">
        <f>HYPERLINK("https://bdgrowthsuite.com/tools/property-schema-for-properties-results-page", "View Tool")</f>
        <v>View Tool</v>
      </c>
      <c r="B40" s="32" t="s">
        <v>261</v>
      </c>
      <c r="C40" s="32" t="s">
        <v>262</v>
      </c>
      <c r="D40" s="32" t="s">
        <v>263</v>
      </c>
      <c r="E40" s="32" t="s">
        <v>183</v>
      </c>
      <c r="F40" s="33">
        <v>250.0</v>
      </c>
      <c r="G40" s="33">
        <v>0.0</v>
      </c>
      <c r="H40" s="33">
        <v>0.0</v>
      </c>
      <c r="I40" s="32" t="s">
        <v>21</v>
      </c>
      <c r="J40" s="32" t="s">
        <v>21</v>
      </c>
      <c r="K40" s="32" t="s">
        <v>55</v>
      </c>
      <c r="L40" s="32" t="s">
        <v>23</v>
      </c>
      <c r="M40" s="32"/>
      <c r="N40" s="32" t="s">
        <v>25</v>
      </c>
      <c r="O40" s="32" t="s">
        <v>32</v>
      </c>
    </row>
    <row r="41">
      <c r="A41" s="31" t="str">
        <f>HYPERLINK("https://bdgrowthsuite.com/tools/property-schema-for-property-detail-page", "View Tool")</f>
        <v>View Tool</v>
      </c>
      <c r="B41" s="32" t="s">
        <v>264</v>
      </c>
      <c r="C41" s="32" t="s">
        <v>265</v>
      </c>
      <c r="D41" s="32" t="s">
        <v>266</v>
      </c>
      <c r="E41" s="32" t="s">
        <v>183</v>
      </c>
      <c r="F41" s="33">
        <v>250.0</v>
      </c>
      <c r="G41" s="33">
        <v>0.0</v>
      </c>
      <c r="H41" s="33">
        <v>0.0</v>
      </c>
      <c r="I41" s="32" t="s">
        <v>21</v>
      </c>
      <c r="J41" s="32" t="s">
        <v>21</v>
      </c>
      <c r="K41" s="32" t="s">
        <v>55</v>
      </c>
      <c r="L41" s="32" t="s">
        <v>23</v>
      </c>
      <c r="M41" s="32"/>
      <c r="N41" s="32" t="s">
        <v>25</v>
      </c>
      <c r="O41" s="32" t="s">
        <v>32</v>
      </c>
    </row>
    <row r="42">
      <c r="A42" s="31" t="str">
        <f>HYPERLINK("https://bdgrowthsuite.com/tools/product-schema-for-product-detail-page", "View Tool")</f>
        <v>View Tool</v>
      </c>
      <c r="B42" s="32" t="s">
        <v>267</v>
      </c>
      <c r="C42" s="32" t="s">
        <v>268</v>
      </c>
      <c r="D42" s="32" t="s">
        <v>268</v>
      </c>
      <c r="E42" s="32" t="s">
        <v>183</v>
      </c>
      <c r="F42" s="33">
        <v>250.0</v>
      </c>
      <c r="G42" s="33">
        <v>0.0</v>
      </c>
      <c r="H42" s="33">
        <v>0.0</v>
      </c>
      <c r="I42" s="32" t="s">
        <v>21</v>
      </c>
      <c r="J42" s="32" t="s">
        <v>21</v>
      </c>
      <c r="K42" s="32" t="s">
        <v>55</v>
      </c>
      <c r="L42" s="32" t="s">
        <v>23</v>
      </c>
      <c r="M42" s="32"/>
      <c r="N42" s="32" t="s">
        <v>25</v>
      </c>
      <c r="O42" s="32" t="s">
        <v>32</v>
      </c>
    </row>
    <row r="43">
      <c r="A43" s="31" t="str">
        <f>HYPERLINK("https://bdgrowthsuite.com/tools/product-schema-for-products-results-page", "View Tool")</f>
        <v>View Tool</v>
      </c>
      <c r="B43" s="32" t="s">
        <v>269</v>
      </c>
      <c r="C43" s="32" t="s">
        <v>270</v>
      </c>
      <c r="D43" s="32" t="s">
        <v>270</v>
      </c>
      <c r="E43" s="32" t="s">
        <v>183</v>
      </c>
      <c r="F43" s="33">
        <v>250.0</v>
      </c>
      <c r="G43" s="33">
        <v>0.0</v>
      </c>
      <c r="H43" s="33">
        <v>0.0</v>
      </c>
      <c r="I43" s="32" t="s">
        <v>21</v>
      </c>
      <c r="J43" s="32" t="s">
        <v>21</v>
      </c>
      <c r="K43" s="32" t="s">
        <v>55</v>
      </c>
      <c r="L43" s="32" t="s">
        <v>23</v>
      </c>
      <c r="M43" s="32"/>
      <c r="N43" s="32" t="s">
        <v>25</v>
      </c>
      <c r="O43" s="32" t="s">
        <v>32</v>
      </c>
    </row>
    <row r="44">
      <c r="A44" s="31" t="str">
        <f>HYPERLINK("https://bdgrowthsuite.com/tools/video-preview-on-member-profiles-%E2%80%93-lifetime-deal", "View Tool")</f>
        <v>View Tool</v>
      </c>
      <c r="B44" s="32" t="s">
        <v>271</v>
      </c>
      <c r="C44" s="32" t="s">
        <v>256</v>
      </c>
      <c r="D44" s="32"/>
      <c r="E44" s="32" t="s">
        <v>183</v>
      </c>
      <c r="F44" s="33">
        <v>69.0</v>
      </c>
      <c r="G44" s="33">
        <v>399.0</v>
      </c>
      <c r="H44" s="33">
        <v>0.0</v>
      </c>
      <c r="I44" s="32" t="s">
        <v>21</v>
      </c>
      <c r="J44" s="32" t="s">
        <v>30</v>
      </c>
      <c r="K44" s="34"/>
      <c r="L44" s="32" t="s">
        <v>23</v>
      </c>
      <c r="M44" s="32" t="s">
        <v>79</v>
      </c>
      <c r="N44" s="32" t="s">
        <v>42</v>
      </c>
      <c r="O44" s="32" t="s">
        <v>26</v>
      </c>
    </row>
    <row r="45">
      <c r="A45" s="31" t="str">
        <f>HYPERLINK("https://bdgrowthsuite.com/tools/blog-schema-for-blog-detail-page", "View Tool")</f>
        <v>View Tool</v>
      </c>
      <c r="B45" s="32" t="s">
        <v>272</v>
      </c>
      <c r="C45" s="32" t="s">
        <v>145</v>
      </c>
      <c r="D45" s="32" t="s">
        <v>145</v>
      </c>
      <c r="E45" s="32" t="s">
        <v>183</v>
      </c>
      <c r="F45" s="33">
        <v>250.0</v>
      </c>
      <c r="G45" s="33">
        <v>0.0</v>
      </c>
      <c r="H45" s="33">
        <v>0.0</v>
      </c>
      <c r="I45" s="32" t="s">
        <v>21</v>
      </c>
      <c r="J45" s="32" t="s">
        <v>21</v>
      </c>
      <c r="K45" s="32" t="s">
        <v>55</v>
      </c>
      <c r="L45" s="32" t="s">
        <v>23</v>
      </c>
      <c r="M45" s="32"/>
      <c r="N45" s="32" t="s">
        <v>25</v>
      </c>
      <c r="O45" s="32" t="s">
        <v>32</v>
      </c>
    </row>
    <row r="46">
      <c r="C46" s="35"/>
      <c r="L46" s="35"/>
      <c r="M46" s="35"/>
      <c r="O46" s="36"/>
    </row>
    <row r="47">
      <c r="C47" s="35"/>
      <c r="L47" s="35"/>
      <c r="M47" s="35"/>
      <c r="O47" s="36"/>
    </row>
  </sheetData>
  <dataValidations>
    <dataValidation type="list" allowBlank="1" sqref="E2:E45">
      <formula1>"Pending"</formula1>
    </dataValidation>
    <dataValidation type="list" allowBlank="1" showErrorMessage="1" sqref="O2:O47">
      <formula1>"3 days,1 week,2 weeks,1 month"</formula1>
    </dataValidation>
    <dataValidation type="list" allowBlank="1" sqref="N2:N45">
      <formula1>"Semi custom,Ready to implement,Quick,Fully custom"</formula1>
    </dataValidation>
    <dataValidation type="list" allowBlank="1" sqref="L2:L45">
      <formula1>"Fixed price,Ask for quote,Starts from,Subscription"</formula1>
    </dataValidation>
    <dataValidation type="list" allowBlank="1" sqref="M2:M45">
      <formula1>"Quick service,Flagship service,Service,Tool"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63"/>
    <col customWidth="1" min="3" max="3" width="28.13"/>
    <col customWidth="1" min="4" max="4" width="33.25"/>
    <col customWidth="1" min="5" max="5" width="34.13"/>
    <col customWidth="1" min="6" max="6" width="18.88"/>
    <col customWidth="1" min="7" max="7" width="17.63"/>
    <col customWidth="1" min="8" max="8" width="27.75"/>
    <col customWidth="1" min="9" max="9" width="29.13"/>
    <col customWidth="1" min="11" max="11" width="27.75"/>
  </cols>
  <sheetData>
    <row r="1">
      <c r="A1" s="37" t="s">
        <v>54</v>
      </c>
      <c r="G1" s="38"/>
    </row>
    <row r="2">
      <c r="A2" s="39" t="s">
        <v>0</v>
      </c>
      <c r="B2" s="40" t="s">
        <v>273</v>
      </c>
      <c r="C2" s="40" t="s">
        <v>274</v>
      </c>
      <c r="D2" s="39" t="s">
        <v>275</v>
      </c>
      <c r="E2" s="39" t="s">
        <v>276</v>
      </c>
      <c r="F2" s="39" t="s">
        <v>5</v>
      </c>
      <c r="G2" s="38"/>
    </row>
    <row r="3">
      <c r="A3" s="41" t="s">
        <v>16</v>
      </c>
      <c r="B3" s="42" t="s">
        <v>142</v>
      </c>
      <c r="C3" s="42" t="s">
        <v>143</v>
      </c>
      <c r="D3" s="43" t="s">
        <v>143</v>
      </c>
      <c r="E3" s="44" t="s">
        <v>55</v>
      </c>
      <c r="F3" s="45" t="s">
        <v>20</v>
      </c>
      <c r="G3" s="46"/>
    </row>
    <row r="4">
      <c r="A4" s="47" t="s">
        <v>16</v>
      </c>
      <c r="B4" s="48" t="s">
        <v>144</v>
      </c>
      <c r="C4" s="48" t="s">
        <v>145</v>
      </c>
      <c r="D4" s="49" t="s">
        <v>145</v>
      </c>
      <c r="E4" s="50" t="s">
        <v>55</v>
      </c>
      <c r="F4" s="45" t="s">
        <v>20</v>
      </c>
      <c r="G4" s="46"/>
      <c r="H4" s="51" t="s">
        <v>277</v>
      </c>
    </row>
    <row r="5">
      <c r="A5" s="41" t="s">
        <v>16</v>
      </c>
      <c r="B5" s="42" t="s">
        <v>107</v>
      </c>
      <c r="C5" s="42" t="s">
        <v>108</v>
      </c>
      <c r="D5" s="43"/>
      <c r="E5" s="44" t="s">
        <v>41</v>
      </c>
      <c r="F5" s="45" t="s">
        <v>20</v>
      </c>
      <c r="G5" s="46"/>
      <c r="H5" s="52" t="s">
        <v>54</v>
      </c>
    </row>
    <row r="6">
      <c r="A6" s="47" t="s">
        <v>16</v>
      </c>
      <c r="B6" s="48" t="s">
        <v>53</v>
      </c>
      <c r="C6" s="48"/>
      <c r="D6" s="49"/>
      <c r="E6" s="50" t="s">
        <v>55</v>
      </c>
      <c r="F6" s="45" t="s">
        <v>20</v>
      </c>
      <c r="G6" s="46"/>
      <c r="H6" s="52" t="s">
        <v>95</v>
      </c>
    </row>
    <row r="7">
      <c r="A7" s="41" t="s">
        <v>16</v>
      </c>
      <c r="B7" s="42" t="s">
        <v>57</v>
      </c>
      <c r="C7" s="42" t="s">
        <v>58</v>
      </c>
      <c r="D7" s="43"/>
      <c r="E7" s="44" t="s">
        <v>55</v>
      </c>
      <c r="F7" s="45" t="s">
        <v>20</v>
      </c>
      <c r="G7" s="46"/>
      <c r="H7" s="52" t="s">
        <v>35</v>
      </c>
    </row>
    <row r="8">
      <c r="A8" s="47" t="s">
        <v>16</v>
      </c>
      <c r="B8" s="48" t="s">
        <v>59</v>
      </c>
      <c r="C8" s="48" t="s">
        <v>60</v>
      </c>
      <c r="D8" s="49" t="s">
        <v>60</v>
      </c>
      <c r="E8" s="50" t="s">
        <v>55</v>
      </c>
      <c r="F8" s="45" t="s">
        <v>20</v>
      </c>
      <c r="G8" s="46"/>
      <c r="H8" s="52" t="s">
        <v>29</v>
      </c>
    </row>
    <row r="9">
      <c r="A9" s="41" t="s">
        <v>16</v>
      </c>
      <c r="B9" s="42" t="s">
        <v>61</v>
      </c>
      <c r="C9" s="42" t="s">
        <v>62</v>
      </c>
      <c r="D9" s="43" t="s">
        <v>62</v>
      </c>
      <c r="E9" s="44" t="s">
        <v>55</v>
      </c>
      <c r="F9" s="45" t="s">
        <v>20</v>
      </c>
      <c r="G9" s="46"/>
      <c r="H9" s="52" t="s">
        <v>40</v>
      </c>
    </row>
    <row r="10">
      <c r="A10" s="47" t="s">
        <v>16</v>
      </c>
      <c r="B10" s="48" t="s">
        <v>63</v>
      </c>
      <c r="C10" s="48" t="s">
        <v>63</v>
      </c>
      <c r="D10" s="49" t="s">
        <v>63</v>
      </c>
      <c r="E10" s="50" t="s">
        <v>64</v>
      </c>
      <c r="F10" s="45" t="s">
        <v>20</v>
      </c>
      <c r="G10" s="46"/>
      <c r="H10" s="52" t="s">
        <v>104</v>
      </c>
    </row>
    <row r="11">
      <c r="A11" s="41" t="s">
        <v>16</v>
      </c>
      <c r="B11" s="42" t="s">
        <v>66</v>
      </c>
      <c r="C11" s="42" t="s">
        <v>67</v>
      </c>
      <c r="D11" s="43" t="s">
        <v>67</v>
      </c>
      <c r="E11" s="44" t="s">
        <v>68</v>
      </c>
      <c r="F11" s="45" t="s">
        <v>20</v>
      </c>
      <c r="G11" s="46"/>
      <c r="H11" s="52" t="s">
        <v>19</v>
      </c>
    </row>
    <row r="12">
      <c r="A12" s="53" t="s">
        <v>16</v>
      </c>
      <c r="B12" s="54" t="s">
        <v>188</v>
      </c>
      <c r="C12" s="54" t="s">
        <v>189</v>
      </c>
      <c r="D12" s="43"/>
      <c r="E12" s="55" t="s">
        <v>55</v>
      </c>
      <c r="F12" s="56" t="s">
        <v>278</v>
      </c>
      <c r="G12" s="57"/>
      <c r="H12" s="52" t="s">
        <v>279</v>
      </c>
    </row>
    <row r="13">
      <c r="A13" s="53" t="s">
        <v>16</v>
      </c>
      <c r="B13" s="54" t="s">
        <v>190</v>
      </c>
      <c r="C13" s="54" t="s">
        <v>191</v>
      </c>
      <c r="D13" s="58" t="s">
        <v>191</v>
      </c>
      <c r="E13" s="55" t="s">
        <v>55</v>
      </c>
      <c r="F13" s="56" t="s">
        <v>278</v>
      </c>
      <c r="G13" s="59"/>
    </row>
    <row r="14">
      <c r="A14" s="53" t="s">
        <v>16</v>
      </c>
      <c r="B14" s="54" t="s">
        <v>192</v>
      </c>
      <c r="C14" s="54" t="s">
        <v>193</v>
      </c>
      <c r="D14" s="43"/>
      <c r="E14" s="55" t="s">
        <v>55</v>
      </c>
      <c r="F14" s="56" t="s">
        <v>278</v>
      </c>
      <c r="G14" s="59"/>
    </row>
    <row r="15">
      <c r="A15" s="53" t="s">
        <v>16</v>
      </c>
      <c r="B15" s="54" t="s">
        <v>194</v>
      </c>
      <c r="C15" s="54" t="s">
        <v>195</v>
      </c>
      <c r="D15" s="43"/>
      <c r="E15" s="55" t="s">
        <v>55</v>
      </c>
      <c r="F15" s="56" t="s">
        <v>278</v>
      </c>
      <c r="G15" s="59"/>
    </row>
    <row r="16">
      <c r="A16" s="53" t="s">
        <v>16</v>
      </c>
      <c r="B16" s="54" t="s">
        <v>196</v>
      </c>
      <c r="C16" s="54" t="s">
        <v>197</v>
      </c>
      <c r="D16" s="43"/>
      <c r="E16" s="55" t="s">
        <v>55</v>
      </c>
      <c r="F16" s="56" t="s">
        <v>278</v>
      </c>
      <c r="G16" s="59"/>
    </row>
    <row r="17">
      <c r="A17" s="53" t="s">
        <v>16</v>
      </c>
      <c r="B17" s="54" t="s">
        <v>198</v>
      </c>
      <c r="C17" s="54" t="s">
        <v>199</v>
      </c>
      <c r="D17" s="43"/>
      <c r="E17" s="55" t="s">
        <v>55</v>
      </c>
      <c r="F17" s="56" t="s">
        <v>278</v>
      </c>
      <c r="G17" s="59"/>
    </row>
    <row r="18">
      <c r="A18" s="53" t="s">
        <v>16</v>
      </c>
      <c r="B18" s="54" t="s">
        <v>200</v>
      </c>
      <c r="C18" s="54" t="s">
        <v>201</v>
      </c>
      <c r="D18" s="43"/>
      <c r="E18" s="55" t="s">
        <v>55</v>
      </c>
      <c r="F18" s="56" t="s">
        <v>278</v>
      </c>
      <c r="G18" s="59"/>
    </row>
    <row r="19">
      <c r="A19" s="53" t="s">
        <v>16</v>
      </c>
      <c r="B19" s="54" t="s">
        <v>202</v>
      </c>
      <c r="C19" s="54" t="s">
        <v>203</v>
      </c>
      <c r="D19" s="43"/>
      <c r="E19" s="55" t="s">
        <v>55</v>
      </c>
      <c r="F19" s="56" t="s">
        <v>278</v>
      </c>
      <c r="G19" s="59"/>
    </row>
    <row r="20">
      <c r="A20" s="53" t="s">
        <v>16</v>
      </c>
      <c r="B20" s="54" t="s">
        <v>204</v>
      </c>
      <c r="C20" s="54" t="s">
        <v>205</v>
      </c>
      <c r="D20" s="43"/>
      <c r="E20" s="55" t="s">
        <v>55</v>
      </c>
      <c r="F20" s="56" t="s">
        <v>278</v>
      </c>
      <c r="G20" s="59"/>
    </row>
    <row r="21">
      <c r="A21" s="53" t="s">
        <v>16</v>
      </c>
      <c r="B21" s="54" t="s">
        <v>206</v>
      </c>
      <c r="C21" s="54" t="s">
        <v>207</v>
      </c>
      <c r="D21" s="43"/>
      <c r="E21" s="55" t="s">
        <v>55</v>
      </c>
      <c r="F21" s="56" t="s">
        <v>278</v>
      </c>
      <c r="G21" s="59"/>
    </row>
    <row r="22">
      <c r="A22" s="53" t="s">
        <v>16</v>
      </c>
      <c r="B22" s="54" t="s">
        <v>208</v>
      </c>
      <c r="C22" s="54" t="s">
        <v>209</v>
      </c>
      <c r="D22" s="43"/>
      <c r="E22" s="55" t="s">
        <v>55</v>
      </c>
      <c r="F22" s="56" t="s">
        <v>278</v>
      </c>
      <c r="G22" s="59"/>
    </row>
    <row r="23">
      <c r="A23" s="53" t="s">
        <v>16</v>
      </c>
      <c r="B23" s="54" t="s">
        <v>212</v>
      </c>
      <c r="C23" s="54" t="s">
        <v>213</v>
      </c>
      <c r="D23" s="43"/>
      <c r="E23" s="55" t="s">
        <v>214</v>
      </c>
      <c r="F23" s="56" t="s">
        <v>278</v>
      </c>
      <c r="G23" s="59"/>
    </row>
    <row r="24">
      <c r="A24" s="53" t="s">
        <v>16</v>
      </c>
      <c r="B24" s="54" t="s">
        <v>250</v>
      </c>
      <c r="C24" s="54" t="s">
        <v>251</v>
      </c>
      <c r="D24" s="43"/>
      <c r="E24" s="55" t="s">
        <v>240</v>
      </c>
      <c r="F24" s="56" t="s">
        <v>278</v>
      </c>
      <c r="G24" s="59"/>
    </row>
    <row r="25">
      <c r="A25" s="53" t="s">
        <v>16</v>
      </c>
      <c r="B25" s="54" t="s">
        <v>261</v>
      </c>
      <c r="C25" s="54" t="s">
        <v>262</v>
      </c>
      <c r="D25" s="58" t="s">
        <v>263</v>
      </c>
      <c r="E25" s="55" t="s">
        <v>55</v>
      </c>
      <c r="F25" s="56" t="s">
        <v>278</v>
      </c>
      <c r="G25" s="59"/>
    </row>
    <row r="26">
      <c r="A26" s="53" t="s">
        <v>16</v>
      </c>
      <c r="B26" s="54" t="s">
        <v>264</v>
      </c>
      <c r="C26" s="54" t="s">
        <v>265</v>
      </c>
      <c r="D26" s="58" t="s">
        <v>280</v>
      </c>
      <c r="E26" s="55" t="s">
        <v>55</v>
      </c>
      <c r="F26" s="56" t="s">
        <v>278</v>
      </c>
      <c r="G26" s="59"/>
    </row>
    <row r="27">
      <c r="A27" s="53" t="s">
        <v>16</v>
      </c>
      <c r="B27" s="54" t="s">
        <v>267</v>
      </c>
      <c r="C27" s="54" t="s">
        <v>281</v>
      </c>
      <c r="D27" s="58" t="s">
        <v>281</v>
      </c>
      <c r="E27" s="55" t="s">
        <v>55</v>
      </c>
      <c r="F27" s="56" t="s">
        <v>278</v>
      </c>
      <c r="G27" s="59"/>
    </row>
    <row r="28">
      <c r="A28" s="53" t="s">
        <v>16</v>
      </c>
      <c r="B28" s="54" t="s">
        <v>269</v>
      </c>
      <c r="C28" s="54" t="s">
        <v>270</v>
      </c>
      <c r="D28" s="58" t="s">
        <v>270</v>
      </c>
      <c r="E28" s="55" t="s">
        <v>55</v>
      </c>
      <c r="F28" s="56" t="s">
        <v>278</v>
      </c>
      <c r="G28" s="59"/>
    </row>
    <row r="29">
      <c r="A29" s="53" t="s">
        <v>16</v>
      </c>
      <c r="B29" s="54" t="s">
        <v>272</v>
      </c>
      <c r="C29" s="54" t="s">
        <v>145</v>
      </c>
      <c r="D29" s="58" t="s">
        <v>145</v>
      </c>
      <c r="E29" s="55" t="s">
        <v>55</v>
      </c>
      <c r="F29" s="56" t="s">
        <v>278</v>
      </c>
      <c r="G29" s="59"/>
    </row>
    <row r="30">
      <c r="A30" s="60"/>
      <c r="B30" s="61"/>
      <c r="C30" s="61"/>
      <c r="D30" s="62"/>
      <c r="E30" s="62"/>
      <c r="F30" s="62"/>
      <c r="G30" s="38"/>
    </row>
    <row r="31">
      <c r="A31" s="60"/>
      <c r="B31" s="61"/>
      <c r="C31" s="61"/>
      <c r="D31" s="62"/>
      <c r="E31" s="62"/>
      <c r="F31" s="62"/>
      <c r="G31" s="38"/>
    </row>
    <row r="32">
      <c r="A32" s="63" t="s">
        <v>95</v>
      </c>
      <c r="G32" s="38"/>
    </row>
    <row r="33">
      <c r="A33" s="39" t="s">
        <v>0</v>
      </c>
      <c r="B33" s="40" t="s">
        <v>273</v>
      </c>
      <c r="C33" s="40" t="s">
        <v>274</v>
      </c>
      <c r="D33" s="39" t="s">
        <v>275</v>
      </c>
      <c r="E33" s="39" t="s">
        <v>276</v>
      </c>
      <c r="F33" s="39" t="s">
        <v>5</v>
      </c>
      <c r="G33" s="38"/>
    </row>
    <row r="34">
      <c r="A34" s="41" t="s">
        <v>16</v>
      </c>
      <c r="B34" s="42" t="s">
        <v>109</v>
      </c>
      <c r="C34" s="42" t="s">
        <v>110</v>
      </c>
      <c r="D34" s="64"/>
      <c r="E34" s="65" t="s">
        <v>55</v>
      </c>
      <c r="F34" s="45" t="s">
        <v>20</v>
      </c>
      <c r="G34" s="38"/>
    </row>
    <row r="35">
      <c r="A35" s="47" t="s">
        <v>16</v>
      </c>
      <c r="B35" s="48" t="s">
        <v>111</v>
      </c>
      <c r="C35" s="48" t="s">
        <v>112</v>
      </c>
      <c r="D35" s="66"/>
      <c r="E35" s="67" t="s">
        <v>55</v>
      </c>
      <c r="F35" s="45" t="s">
        <v>20</v>
      </c>
      <c r="G35" s="38"/>
    </row>
    <row r="36">
      <c r="A36" s="41" t="s">
        <v>16</v>
      </c>
      <c r="B36" s="42" t="s">
        <v>93</v>
      </c>
      <c r="C36" s="42" t="s">
        <v>94</v>
      </c>
      <c r="D36" s="64"/>
      <c r="E36" s="65" t="s">
        <v>55</v>
      </c>
      <c r="F36" s="45" t="s">
        <v>20</v>
      </c>
      <c r="G36" s="38"/>
    </row>
    <row r="37">
      <c r="A37" s="47" t="s">
        <v>16</v>
      </c>
      <c r="B37" s="48" t="s">
        <v>105</v>
      </c>
      <c r="C37" s="48" t="s">
        <v>106</v>
      </c>
      <c r="D37" s="66"/>
      <c r="E37" s="67" t="s">
        <v>55</v>
      </c>
      <c r="F37" s="45" t="s">
        <v>20</v>
      </c>
      <c r="G37" s="38"/>
    </row>
    <row r="38">
      <c r="A38" s="68" t="str">
        <f>HYPERLINK("https://bdgrowthsuite.com/tools/call-to-action-manager-for-blog-articles", "View Tool")</f>
        <v>View Tool</v>
      </c>
      <c r="B38" s="48" t="s">
        <v>151</v>
      </c>
      <c r="C38" s="69"/>
      <c r="D38" s="66"/>
      <c r="E38" s="67" t="s">
        <v>55</v>
      </c>
      <c r="F38" s="45" t="s">
        <v>147</v>
      </c>
      <c r="G38" s="38"/>
    </row>
    <row r="39">
      <c r="A39" s="68" t="str">
        <f>HYPERLINK("https://bdgrowthsuite.com/tools/video-on-no-search-results-page", "View Tool")</f>
        <v>View Tool</v>
      </c>
      <c r="B39" s="48" t="s">
        <v>177</v>
      </c>
      <c r="C39" s="69"/>
      <c r="D39" s="66"/>
      <c r="E39" s="50" t="s">
        <v>55</v>
      </c>
      <c r="F39" s="45" t="s">
        <v>147</v>
      </c>
      <c r="G39" s="38"/>
    </row>
    <row r="40">
      <c r="A40" s="70" t="s">
        <v>16</v>
      </c>
      <c r="B40" s="71" t="s">
        <v>184</v>
      </c>
      <c r="C40" s="72" t="s">
        <v>185</v>
      </c>
      <c r="D40" s="66"/>
      <c r="E40" s="73" t="s">
        <v>55</v>
      </c>
      <c r="F40" s="56" t="s">
        <v>278</v>
      </c>
      <c r="G40" s="38"/>
    </row>
    <row r="41">
      <c r="A41" s="70" t="s">
        <v>16</v>
      </c>
      <c r="B41" s="71" t="s">
        <v>229</v>
      </c>
      <c r="C41" s="72" t="s">
        <v>230</v>
      </c>
      <c r="D41" s="66"/>
      <c r="E41" s="73" t="s">
        <v>55</v>
      </c>
      <c r="F41" s="56" t="s">
        <v>278</v>
      </c>
      <c r="G41" s="38"/>
    </row>
    <row r="42">
      <c r="A42" s="19"/>
      <c r="B42" s="35"/>
      <c r="C42" s="35"/>
      <c r="G42" s="38"/>
    </row>
    <row r="43">
      <c r="A43" s="19"/>
      <c r="B43" s="35"/>
      <c r="C43" s="35"/>
      <c r="G43" s="38"/>
    </row>
    <row r="44">
      <c r="A44" s="63" t="s">
        <v>35</v>
      </c>
      <c r="G44" s="38"/>
    </row>
    <row r="45">
      <c r="A45" s="39" t="s">
        <v>0</v>
      </c>
      <c r="B45" s="40" t="s">
        <v>273</v>
      </c>
      <c r="C45" s="40" t="s">
        <v>274</v>
      </c>
      <c r="D45" s="39" t="s">
        <v>275</v>
      </c>
      <c r="E45" s="39" t="s">
        <v>276</v>
      </c>
      <c r="F45" s="39" t="s">
        <v>5</v>
      </c>
      <c r="G45" s="38"/>
    </row>
    <row r="46">
      <c r="A46" s="74" t="s">
        <v>16</v>
      </c>
      <c r="B46" s="75" t="s">
        <v>33</v>
      </c>
      <c r="C46" s="75" t="s">
        <v>34</v>
      </c>
      <c r="D46" s="76"/>
      <c r="E46" s="77" t="s">
        <v>36</v>
      </c>
      <c r="F46" s="45" t="s">
        <v>20</v>
      </c>
      <c r="G46" s="38"/>
    </row>
    <row r="47">
      <c r="A47" s="78" t="s">
        <v>16</v>
      </c>
      <c r="B47" s="79" t="s">
        <v>113</v>
      </c>
      <c r="C47" s="79" t="s">
        <v>114</v>
      </c>
      <c r="D47" s="80" t="s">
        <v>113</v>
      </c>
      <c r="E47" s="81" t="s">
        <v>55</v>
      </c>
      <c r="F47" s="45" t="s">
        <v>20</v>
      </c>
      <c r="G47" s="38"/>
    </row>
    <row r="48">
      <c r="A48" s="74" t="s">
        <v>16</v>
      </c>
      <c r="B48" s="75" t="s">
        <v>115</v>
      </c>
      <c r="C48" s="75" t="s">
        <v>116</v>
      </c>
      <c r="D48" s="76"/>
      <c r="E48" s="77" t="s">
        <v>55</v>
      </c>
      <c r="F48" s="45" t="s">
        <v>20</v>
      </c>
      <c r="G48" s="38"/>
    </row>
    <row r="49">
      <c r="A49" s="78" t="s">
        <v>16</v>
      </c>
      <c r="B49" s="79" t="s">
        <v>120</v>
      </c>
      <c r="C49" s="79" t="s">
        <v>121</v>
      </c>
      <c r="D49" s="82"/>
      <c r="E49" s="81" t="s">
        <v>50</v>
      </c>
      <c r="F49" s="45" t="s">
        <v>20</v>
      </c>
      <c r="G49" s="38"/>
    </row>
    <row r="50">
      <c r="A50" s="74" t="s">
        <v>16</v>
      </c>
      <c r="B50" s="75" t="s">
        <v>122</v>
      </c>
      <c r="C50" s="75" t="s">
        <v>123</v>
      </c>
      <c r="D50" s="83" t="s">
        <v>123</v>
      </c>
      <c r="E50" s="77" t="s">
        <v>50</v>
      </c>
      <c r="F50" s="45" t="s">
        <v>20</v>
      </c>
      <c r="G50" s="38"/>
    </row>
    <row r="51">
      <c r="A51" s="78" t="s">
        <v>16</v>
      </c>
      <c r="B51" s="79" t="s">
        <v>124</v>
      </c>
      <c r="C51" s="79" t="s">
        <v>125</v>
      </c>
      <c r="D51" s="82"/>
      <c r="E51" s="81" t="s">
        <v>126</v>
      </c>
      <c r="F51" s="45" t="s">
        <v>20</v>
      </c>
      <c r="G51" s="38"/>
    </row>
    <row r="52">
      <c r="A52" s="74" t="s">
        <v>16</v>
      </c>
      <c r="B52" s="75" t="s">
        <v>129</v>
      </c>
      <c r="C52" s="75" t="s">
        <v>114</v>
      </c>
      <c r="D52" s="76"/>
      <c r="E52" s="77" t="s">
        <v>126</v>
      </c>
      <c r="F52" s="45" t="s">
        <v>20</v>
      </c>
      <c r="G52" s="38"/>
    </row>
    <row r="53">
      <c r="A53" s="78" t="s">
        <v>16</v>
      </c>
      <c r="B53" s="79" t="s">
        <v>130</v>
      </c>
      <c r="C53" s="79" t="s">
        <v>131</v>
      </c>
      <c r="D53" s="82"/>
      <c r="E53" s="81" t="s">
        <v>132</v>
      </c>
      <c r="F53" s="45" t="s">
        <v>20</v>
      </c>
      <c r="G53" s="38"/>
    </row>
    <row r="54">
      <c r="A54" s="74" t="s">
        <v>16</v>
      </c>
      <c r="B54" s="75" t="s">
        <v>133</v>
      </c>
      <c r="C54" s="75" t="s">
        <v>134</v>
      </c>
      <c r="D54" s="76"/>
      <c r="E54" s="77" t="s">
        <v>132</v>
      </c>
      <c r="F54" s="45" t="s">
        <v>20</v>
      </c>
      <c r="G54" s="38"/>
    </row>
    <row r="55">
      <c r="A55" s="84" t="str">
        <f>HYPERLINK("https://bdgrowthsuite.com/tools/customize-the-members-signup-forms", "View Tool")</f>
        <v>View Tool</v>
      </c>
      <c r="B55" s="75" t="s">
        <v>163</v>
      </c>
      <c r="C55" s="75"/>
      <c r="D55" s="76"/>
      <c r="E55" s="77" t="s">
        <v>164</v>
      </c>
      <c r="F55" s="45" t="s">
        <v>147</v>
      </c>
      <c r="G55" s="38"/>
    </row>
    <row r="56">
      <c r="A56" s="85" t="s">
        <v>16</v>
      </c>
      <c r="B56" s="86" t="s">
        <v>217</v>
      </c>
      <c r="C56" s="86" t="s">
        <v>218</v>
      </c>
      <c r="D56" s="76"/>
      <c r="E56" s="87" t="s">
        <v>55</v>
      </c>
      <c r="F56" s="56" t="s">
        <v>278</v>
      </c>
      <c r="G56" s="38"/>
    </row>
    <row r="57">
      <c r="A57" s="85" t="s">
        <v>16</v>
      </c>
      <c r="B57" s="86" t="s">
        <v>224</v>
      </c>
      <c r="C57" s="75"/>
      <c r="D57" s="76"/>
      <c r="E57" s="87" t="s">
        <v>221</v>
      </c>
      <c r="F57" s="56" t="s">
        <v>278</v>
      </c>
      <c r="G57" s="38"/>
    </row>
    <row r="58">
      <c r="A58" s="85" t="s">
        <v>16</v>
      </c>
      <c r="B58" s="88" t="s">
        <v>227</v>
      </c>
      <c r="C58" s="88" t="s">
        <v>228</v>
      </c>
      <c r="D58" s="89"/>
      <c r="E58" s="90" t="s">
        <v>55</v>
      </c>
      <c r="F58" s="56" t="s">
        <v>278</v>
      </c>
      <c r="G58" s="38"/>
    </row>
    <row r="59">
      <c r="A59" s="85" t="s">
        <v>16</v>
      </c>
      <c r="B59" s="88" t="s">
        <v>233</v>
      </c>
      <c r="C59" s="88" t="s">
        <v>234</v>
      </c>
      <c r="D59" s="89"/>
      <c r="E59" s="90" t="s">
        <v>41</v>
      </c>
      <c r="F59" s="56" t="s">
        <v>278</v>
      </c>
      <c r="G59" s="38"/>
    </row>
    <row r="60">
      <c r="A60" s="85" t="s">
        <v>16</v>
      </c>
      <c r="B60" s="88" t="s">
        <v>255</v>
      </c>
      <c r="C60" s="88" t="s">
        <v>256</v>
      </c>
      <c r="D60" s="89"/>
      <c r="E60" s="90" t="s">
        <v>36</v>
      </c>
      <c r="F60" s="56" t="s">
        <v>278</v>
      </c>
      <c r="G60" s="38"/>
    </row>
    <row r="61">
      <c r="A61" s="85" t="s">
        <v>16</v>
      </c>
      <c r="B61" s="88" t="s">
        <v>271</v>
      </c>
      <c r="C61" s="88" t="s">
        <v>256</v>
      </c>
      <c r="D61" s="89"/>
      <c r="E61" s="90"/>
      <c r="F61" s="56" t="s">
        <v>278</v>
      </c>
      <c r="G61" s="38"/>
    </row>
    <row r="62">
      <c r="A62" s="60"/>
      <c r="B62" s="61"/>
      <c r="C62" s="61"/>
      <c r="D62" s="62"/>
      <c r="E62" s="62"/>
      <c r="F62" s="62"/>
      <c r="G62" s="38"/>
    </row>
    <row r="63">
      <c r="A63" s="63" t="s">
        <v>29</v>
      </c>
      <c r="G63" s="38"/>
    </row>
    <row r="64">
      <c r="A64" s="39" t="s">
        <v>0</v>
      </c>
      <c r="B64" s="40" t="s">
        <v>273</v>
      </c>
      <c r="C64" s="40" t="s">
        <v>274</v>
      </c>
      <c r="D64" s="39" t="s">
        <v>275</v>
      </c>
      <c r="E64" s="39" t="s">
        <v>276</v>
      </c>
      <c r="F64" s="39" t="s">
        <v>5</v>
      </c>
      <c r="G64" s="38"/>
    </row>
    <row r="65">
      <c r="A65" s="91" t="s">
        <v>16</v>
      </c>
      <c r="B65" s="92" t="s">
        <v>27</v>
      </c>
      <c r="C65" s="92" t="s">
        <v>28</v>
      </c>
      <c r="D65" s="93"/>
      <c r="E65" s="94" t="s">
        <v>31</v>
      </c>
      <c r="F65" s="45" t="s">
        <v>20</v>
      </c>
      <c r="G65" s="38"/>
    </row>
    <row r="66">
      <c r="A66" s="91" t="s">
        <v>16</v>
      </c>
      <c r="B66" s="92" t="s">
        <v>81</v>
      </c>
      <c r="C66" s="92" t="s">
        <v>82</v>
      </c>
      <c r="D66" s="93"/>
      <c r="E66" s="94" t="s">
        <v>41</v>
      </c>
      <c r="F66" s="45" t="s">
        <v>20</v>
      </c>
      <c r="G66" s="38"/>
    </row>
    <row r="67">
      <c r="A67" s="91" t="s">
        <v>16</v>
      </c>
      <c r="B67" s="92" t="s">
        <v>83</v>
      </c>
      <c r="C67" s="92" t="s">
        <v>84</v>
      </c>
      <c r="D67" s="93"/>
      <c r="E67" s="94" t="s">
        <v>41</v>
      </c>
      <c r="F67" s="45" t="s">
        <v>20</v>
      </c>
      <c r="G67" s="38"/>
    </row>
    <row r="68">
      <c r="A68" s="95" t="s">
        <v>16</v>
      </c>
      <c r="B68" s="96" t="s">
        <v>100</v>
      </c>
      <c r="C68" s="96" t="s">
        <v>101</v>
      </c>
      <c r="D68" s="97"/>
      <c r="E68" s="98"/>
      <c r="F68" s="56" t="s">
        <v>20</v>
      </c>
      <c r="G68" s="38"/>
    </row>
    <row r="69">
      <c r="A69" s="99" t="s">
        <v>16</v>
      </c>
      <c r="B69" s="100" t="s">
        <v>186</v>
      </c>
      <c r="C69" s="100" t="s">
        <v>187</v>
      </c>
      <c r="D69" s="101"/>
      <c r="E69" s="102" t="s">
        <v>31</v>
      </c>
      <c r="F69" s="56" t="s">
        <v>278</v>
      </c>
      <c r="G69" s="38"/>
    </row>
    <row r="70">
      <c r="A70" s="60"/>
      <c r="B70" s="61"/>
      <c r="C70" s="61"/>
      <c r="D70" s="62"/>
      <c r="E70" s="62"/>
      <c r="F70" s="62"/>
      <c r="G70" s="38"/>
    </row>
    <row r="71">
      <c r="A71" s="60"/>
      <c r="B71" s="61"/>
      <c r="C71" s="61"/>
      <c r="D71" s="62"/>
      <c r="E71" s="62"/>
      <c r="F71" s="62"/>
      <c r="G71" s="38"/>
    </row>
    <row r="72">
      <c r="A72" s="63" t="s">
        <v>40</v>
      </c>
      <c r="G72" s="38"/>
    </row>
    <row r="73">
      <c r="A73" s="39" t="s">
        <v>0</v>
      </c>
      <c r="B73" s="40" t="s">
        <v>273</v>
      </c>
      <c r="C73" s="40" t="s">
        <v>274</v>
      </c>
      <c r="D73" s="39" t="s">
        <v>275</v>
      </c>
      <c r="E73" s="39" t="s">
        <v>276</v>
      </c>
      <c r="F73" s="39" t="s">
        <v>5</v>
      </c>
      <c r="G73" s="38"/>
    </row>
    <row r="74">
      <c r="A74" s="91" t="s">
        <v>16</v>
      </c>
      <c r="B74" s="92" t="s">
        <v>38</v>
      </c>
      <c r="C74" s="92" t="s">
        <v>39</v>
      </c>
      <c r="D74" s="93"/>
      <c r="E74" s="94" t="s">
        <v>41</v>
      </c>
      <c r="F74" s="45" t="s">
        <v>20</v>
      </c>
      <c r="G74" s="38"/>
    </row>
    <row r="75">
      <c r="A75" s="91" t="s">
        <v>16</v>
      </c>
      <c r="B75" s="92" t="s">
        <v>44</v>
      </c>
      <c r="C75" s="92" t="s">
        <v>45</v>
      </c>
      <c r="D75" s="93"/>
      <c r="E75" s="94" t="s">
        <v>41</v>
      </c>
      <c r="F75" s="45" t="s">
        <v>20</v>
      </c>
      <c r="G75" s="38"/>
    </row>
    <row r="76">
      <c r="A76" s="91" t="s">
        <v>16</v>
      </c>
      <c r="B76" s="92" t="s">
        <v>46</v>
      </c>
      <c r="C76" s="92" t="s">
        <v>47</v>
      </c>
      <c r="D76" s="93"/>
      <c r="E76" s="94" t="s">
        <v>41</v>
      </c>
      <c r="F76" s="45" t="s">
        <v>20</v>
      </c>
      <c r="G76" s="38"/>
    </row>
    <row r="77">
      <c r="A77" s="91" t="s">
        <v>16</v>
      </c>
      <c r="B77" s="92" t="s">
        <v>48</v>
      </c>
      <c r="C77" s="92" t="s">
        <v>49</v>
      </c>
      <c r="D77" s="93"/>
      <c r="E77" s="94" t="s">
        <v>50</v>
      </c>
      <c r="F77" s="45" t="s">
        <v>20</v>
      </c>
      <c r="G77" s="38"/>
    </row>
    <row r="78">
      <c r="A78" s="91" t="s">
        <v>16</v>
      </c>
      <c r="B78" s="92" t="s">
        <v>51</v>
      </c>
      <c r="C78" s="92" t="s">
        <v>52</v>
      </c>
      <c r="D78" s="93"/>
      <c r="E78" s="94" t="s">
        <v>41</v>
      </c>
      <c r="F78" s="45" t="s">
        <v>20</v>
      </c>
      <c r="G78" s="38"/>
    </row>
    <row r="79">
      <c r="A79" s="91" t="s">
        <v>16</v>
      </c>
      <c r="B79" s="92" t="s">
        <v>85</v>
      </c>
      <c r="C79" s="92" t="s">
        <v>86</v>
      </c>
      <c r="D79" s="103" t="s">
        <v>86</v>
      </c>
      <c r="E79" s="94" t="s">
        <v>41</v>
      </c>
      <c r="F79" s="45" t="s">
        <v>20</v>
      </c>
      <c r="G79" s="38"/>
    </row>
    <row r="80">
      <c r="A80" s="91" t="s">
        <v>16</v>
      </c>
      <c r="B80" s="92" t="s">
        <v>87</v>
      </c>
      <c r="C80" s="92" t="s">
        <v>88</v>
      </c>
      <c r="D80" s="103" t="s">
        <v>88</v>
      </c>
      <c r="E80" s="94" t="s">
        <v>41</v>
      </c>
      <c r="F80" s="45" t="s">
        <v>20</v>
      </c>
      <c r="G80" s="38"/>
    </row>
    <row r="81">
      <c r="A81" s="91" t="s">
        <v>16</v>
      </c>
      <c r="B81" s="92" t="s">
        <v>89</v>
      </c>
      <c r="C81" s="92" t="s">
        <v>90</v>
      </c>
      <c r="D81" s="103" t="s">
        <v>90</v>
      </c>
      <c r="E81" s="94" t="s">
        <v>91</v>
      </c>
      <c r="F81" s="45" t="s">
        <v>20</v>
      </c>
      <c r="G81" s="38"/>
    </row>
    <row r="82">
      <c r="A82" s="91" t="s">
        <v>16</v>
      </c>
      <c r="B82" s="92" t="s">
        <v>117</v>
      </c>
      <c r="C82" s="92" t="s">
        <v>118</v>
      </c>
      <c r="D82" s="103" t="s">
        <v>118</v>
      </c>
      <c r="E82" s="94" t="s">
        <v>119</v>
      </c>
      <c r="F82" s="45" t="s">
        <v>20</v>
      </c>
      <c r="G82" s="38"/>
    </row>
    <row r="83">
      <c r="A83" s="91" t="s">
        <v>16</v>
      </c>
      <c r="B83" s="92" t="s">
        <v>127</v>
      </c>
      <c r="C83" s="92" t="s">
        <v>128</v>
      </c>
      <c r="D83" s="93"/>
      <c r="E83" s="94" t="s">
        <v>36</v>
      </c>
      <c r="F83" s="45" t="s">
        <v>20</v>
      </c>
      <c r="G83" s="38"/>
    </row>
    <row r="84">
      <c r="A84" s="99" t="s">
        <v>16</v>
      </c>
      <c r="B84" s="100" t="s">
        <v>215</v>
      </c>
      <c r="C84" s="100" t="s">
        <v>216</v>
      </c>
      <c r="D84" s="104" t="s">
        <v>216</v>
      </c>
      <c r="E84" s="102" t="s">
        <v>126</v>
      </c>
      <c r="F84" s="56" t="s">
        <v>278</v>
      </c>
      <c r="G84" s="38"/>
    </row>
    <row r="85">
      <c r="A85" s="99" t="s">
        <v>16</v>
      </c>
      <c r="B85" s="100" t="s">
        <v>219</v>
      </c>
      <c r="C85" s="100" t="s">
        <v>220</v>
      </c>
      <c r="D85" s="101"/>
      <c r="E85" s="102" t="s">
        <v>221</v>
      </c>
      <c r="F85" s="56" t="s">
        <v>278</v>
      </c>
      <c r="G85" s="38"/>
    </row>
    <row r="86">
      <c r="A86" s="99" t="s">
        <v>16</v>
      </c>
      <c r="B86" s="100" t="s">
        <v>222</v>
      </c>
      <c r="C86" s="105"/>
      <c r="D86" s="101"/>
      <c r="E86" s="102" t="s">
        <v>221</v>
      </c>
      <c r="F86" s="56" t="s">
        <v>278</v>
      </c>
      <c r="G86" s="38"/>
    </row>
    <row r="87">
      <c r="A87" s="99" t="s">
        <v>16</v>
      </c>
      <c r="B87" s="100" t="s">
        <v>223</v>
      </c>
      <c r="C87" s="105"/>
      <c r="D87" s="101"/>
      <c r="E87" s="102" t="s">
        <v>126</v>
      </c>
      <c r="F87" s="56" t="s">
        <v>278</v>
      </c>
      <c r="G87" s="38"/>
    </row>
    <row r="88">
      <c r="A88" s="99" t="s">
        <v>16</v>
      </c>
      <c r="B88" s="100" t="s">
        <v>248</v>
      </c>
      <c r="C88" s="100" t="s">
        <v>249</v>
      </c>
      <c r="D88" s="101"/>
      <c r="E88" s="102" t="s">
        <v>126</v>
      </c>
      <c r="F88" s="56" t="s">
        <v>278</v>
      </c>
      <c r="G88" s="38"/>
    </row>
    <row r="89">
      <c r="A89" s="99" t="s">
        <v>16</v>
      </c>
      <c r="B89" s="100" t="s">
        <v>258</v>
      </c>
      <c r="C89" s="100" t="s">
        <v>259</v>
      </c>
      <c r="D89" s="101"/>
      <c r="E89" s="102" t="s">
        <v>260</v>
      </c>
      <c r="F89" s="56" t="s">
        <v>278</v>
      </c>
      <c r="G89" s="38"/>
    </row>
    <row r="90">
      <c r="A90" s="99" t="s">
        <v>16</v>
      </c>
      <c r="B90" s="100" t="s">
        <v>178</v>
      </c>
      <c r="C90" s="105"/>
      <c r="D90" s="101"/>
      <c r="E90" s="102" t="s">
        <v>179</v>
      </c>
      <c r="F90" s="45" t="s">
        <v>147</v>
      </c>
      <c r="G90" s="38"/>
    </row>
    <row r="91">
      <c r="A91" s="60"/>
      <c r="B91" s="61"/>
      <c r="C91" s="61"/>
      <c r="D91" s="62"/>
      <c r="E91" s="62"/>
      <c r="F91" s="62"/>
      <c r="G91" s="38"/>
    </row>
    <row r="92">
      <c r="A92" s="60"/>
      <c r="B92" s="61"/>
      <c r="C92" s="61"/>
      <c r="D92" s="62"/>
      <c r="E92" s="62"/>
      <c r="F92" s="62"/>
      <c r="G92" s="38"/>
    </row>
    <row r="93">
      <c r="A93" s="63" t="s">
        <v>104</v>
      </c>
      <c r="G93" s="38"/>
    </row>
    <row r="94">
      <c r="A94" s="39" t="s">
        <v>0</v>
      </c>
      <c r="B94" s="40" t="s">
        <v>273</v>
      </c>
      <c r="C94" s="40" t="s">
        <v>274</v>
      </c>
      <c r="D94" s="39" t="s">
        <v>275</v>
      </c>
      <c r="E94" s="39" t="s">
        <v>276</v>
      </c>
      <c r="F94" s="39" t="s">
        <v>5</v>
      </c>
      <c r="G94" s="38"/>
    </row>
    <row r="95">
      <c r="A95" s="106" t="s">
        <v>16</v>
      </c>
      <c r="B95" s="96" t="s">
        <v>102</v>
      </c>
      <c r="C95" s="96" t="s">
        <v>103</v>
      </c>
      <c r="D95" s="97"/>
      <c r="E95" s="94" t="s">
        <v>55</v>
      </c>
      <c r="F95" s="45" t="s">
        <v>20</v>
      </c>
      <c r="G95" s="38"/>
    </row>
    <row r="96">
      <c r="A96" s="106" t="s">
        <v>16</v>
      </c>
      <c r="B96" s="96" t="s">
        <v>135</v>
      </c>
      <c r="C96" s="96" t="s">
        <v>136</v>
      </c>
      <c r="D96" s="107" t="s">
        <v>136</v>
      </c>
      <c r="E96" s="108"/>
      <c r="F96" s="45" t="s">
        <v>20</v>
      </c>
      <c r="G96" s="38"/>
    </row>
    <row r="97">
      <c r="A97" s="85" t="s">
        <v>16</v>
      </c>
      <c r="B97" s="109" t="s">
        <v>243</v>
      </c>
      <c r="C97" s="109" t="s">
        <v>244</v>
      </c>
      <c r="D97" s="110"/>
      <c r="E97" s="111" t="s">
        <v>126</v>
      </c>
      <c r="F97" s="56" t="s">
        <v>278</v>
      </c>
      <c r="G97" s="38"/>
    </row>
    <row r="98">
      <c r="A98" s="85" t="s">
        <v>16</v>
      </c>
      <c r="B98" s="109" t="s">
        <v>282</v>
      </c>
      <c r="C98" s="109" t="s">
        <v>226</v>
      </c>
      <c r="D98" s="110"/>
      <c r="E98" s="111" t="s">
        <v>126</v>
      </c>
      <c r="F98" s="56" t="s">
        <v>278</v>
      </c>
      <c r="G98" s="38"/>
    </row>
    <row r="99">
      <c r="A99" s="85" t="s">
        <v>16</v>
      </c>
      <c r="B99" s="109" t="s">
        <v>246</v>
      </c>
      <c r="C99" s="109" t="s">
        <v>247</v>
      </c>
      <c r="D99" s="110"/>
      <c r="E99" s="111" t="s">
        <v>36</v>
      </c>
      <c r="F99" s="56" t="s">
        <v>278</v>
      </c>
      <c r="G99" s="38"/>
    </row>
    <row r="100">
      <c r="A100" s="85" t="s">
        <v>16</v>
      </c>
      <c r="B100" s="109" t="s">
        <v>157</v>
      </c>
      <c r="C100" s="112"/>
      <c r="D100" s="110"/>
      <c r="E100" s="111" t="s">
        <v>155</v>
      </c>
      <c r="F100" s="45" t="s">
        <v>147</v>
      </c>
      <c r="G100" s="38"/>
    </row>
    <row r="101">
      <c r="A101" s="85" t="s">
        <v>16</v>
      </c>
      <c r="B101" s="109" t="s">
        <v>162</v>
      </c>
      <c r="C101" s="112"/>
      <c r="D101" s="110"/>
      <c r="E101" s="111" t="s">
        <v>155</v>
      </c>
      <c r="F101" s="45" t="s">
        <v>147</v>
      </c>
      <c r="G101" s="38"/>
    </row>
    <row r="102">
      <c r="A102" s="85" t="s">
        <v>16</v>
      </c>
      <c r="B102" s="109" t="s">
        <v>172</v>
      </c>
      <c r="C102" s="109" t="s">
        <v>173</v>
      </c>
      <c r="D102" s="110"/>
      <c r="E102" s="111" t="s">
        <v>36</v>
      </c>
      <c r="F102" s="45" t="s">
        <v>147</v>
      </c>
      <c r="G102" s="38"/>
    </row>
    <row r="103">
      <c r="A103" s="85" t="s">
        <v>16</v>
      </c>
      <c r="B103" s="109" t="s">
        <v>160</v>
      </c>
      <c r="C103" s="112"/>
      <c r="D103" s="110"/>
      <c r="E103" s="111" t="s">
        <v>155</v>
      </c>
      <c r="F103" s="45" t="s">
        <v>147</v>
      </c>
      <c r="G103" s="38"/>
    </row>
    <row r="104">
      <c r="A104" s="85" t="s">
        <v>16</v>
      </c>
      <c r="B104" s="109" t="s">
        <v>158</v>
      </c>
      <c r="C104" s="112"/>
      <c r="D104" s="110"/>
      <c r="E104" s="111" t="s">
        <v>155</v>
      </c>
      <c r="F104" s="45" t="s">
        <v>147</v>
      </c>
      <c r="G104" s="38"/>
    </row>
    <row r="105">
      <c r="A105" s="85" t="s">
        <v>16</v>
      </c>
      <c r="B105" s="109" t="s">
        <v>161</v>
      </c>
      <c r="C105" s="112"/>
      <c r="D105" s="110"/>
      <c r="E105" s="111" t="s">
        <v>155</v>
      </c>
      <c r="F105" s="45" t="s">
        <v>147</v>
      </c>
      <c r="G105" s="38"/>
    </row>
    <row r="106">
      <c r="A106" s="85" t="s">
        <v>16</v>
      </c>
      <c r="B106" s="109" t="s">
        <v>159</v>
      </c>
      <c r="C106" s="112"/>
      <c r="D106" s="110"/>
      <c r="E106" s="111" t="s">
        <v>155</v>
      </c>
      <c r="F106" s="45" t="s">
        <v>147</v>
      </c>
      <c r="G106" s="38"/>
    </row>
    <row r="107">
      <c r="A107" s="85" t="s">
        <v>16</v>
      </c>
      <c r="B107" s="109" t="s">
        <v>149</v>
      </c>
      <c r="C107" s="112"/>
      <c r="D107" s="110"/>
      <c r="E107" s="111" t="s">
        <v>150</v>
      </c>
      <c r="F107" s="45" t="s">
        <v>147</v>
      </c>
      <c r="G107" s="38"/>
    </row>
    <row r="108">
      <c r="A108" s="85" t="s">
        <v>16</v>
      </c>
      <c r="B108" s="109" t="s">
        <v>156</v>
      </c>
      <c r="C108" s="112"/>
      <c r="D108" s="110"/>
      <c r="E108" s="111" t="s">
        <v>155</v>
      </c>
      <c r="F108" s="45" t="s">
        <v>147</v>
      </c>
      <c r="G108" s="38"/>
    </row>
    <row r="109">
      <c r="A109" s="85" t="s">
        <v>16</v>
      </c>
      <c r="B109" s="109" t="s">
        <v>154</v>
      </c>
      <c r="C109" s="112"/>
      <c r="D109" s="110"/>
      <c r="E109" s="111" t="s">
        <v>155</v>
      </c>
      <c r="F109" s="45" t="s">
        <v>147</v>
      </c>
      <c r="G109" s="38"/>
    </row>
    <row r="110">
      <c r="A110" s="60"/>
      <c r="B110" s="61"/>
      <c r="C110" s="61"/>
      <c r="D110" s="62"/>
      <c r="E110" s="62"/>
      <c r="F110" s="62"/>
      <c r="G110" s="38"/>
    </row>
    <row r="111">
      <c r="A111" s="63" t="s">
        <v>19</v>
      </c>
      <c r="G111" s="38"/>
    </row>
    <row r="112">
      <c r="A112" s="39" t="s">
        <v>0</v>
      </c>
      <c r="B112" s="40" t="s">
        <v>273</v>
      </c>
      <c r="C112" s="40" t="s">
        <v>274</v>
      </c>
      <c r="D112" s="39" t="s">
        <v>275</v>
      </c>
      <c r="E112" s="39" t="s">
        <v>276</v>
      </c>
      <c r="F112" s="39" t="s">
        <v>5</v>
      </c>
      <c r="G112" s="38"/>
    </row>
    <row r="113">
      <c r="A113" s="91" t="s">
        <v>16</v>
      </c>
      <c r="B113" s="92" t="s">
        <v>17</v>
      </c>
      <c r="C113" s="92" t="s">
        <v>18</v>
      </c>
      <c r="D113" s="93"/>
      <c r="E113" s="94" t="s">
        <v>22</v>
      </c>
      <c r="F113" s="45" t="s">
        <v>20</v>
      </c>
      <c r="G113" s="38"/>
    </row>
    <row r="114">
      <c r="A114" s="91" t="s">
        <v>16</v>
      </c>
      <c r="B114" s="92" t="s">
        <v>70</v>
      </c>
      <c r="C114" s="92" t="s">
        <v>71</v>
      </c>
      <c r="D114" s="93"/>
      <c r="E114" s="94" t="s">
        <v>22</v>
      </c>
      <c r="F114" s="45" t="s">
        <v>20</v>
      </c>
      <c r="G114" s="38"/>
    </row>
    <row r="115">
      <c r="A115" s="91" t="s">
        <v>16</v>
      </c>
      <c r="B115" s="92" t="s">
        <v>72</v>
      </c>
      <c r="C115" s="113"/>
      <c r="D115" s="93"/>
      <c r="E115" s="94" t="s">
        <v>19</v>
      </c>
      <c r="F115" s="45" t="s">
        <v>20</v>
      </c>
      <c r="G115" s="38"/>
    </row>
    <row r="116">
      <c r="A116" s="91" t="s">
        <v>16</v>
      </c>
      <c r="B116" s="92" t="s">
        <v>73</v>
      </c>
      <c r="C116" s="113"/>
      <c r="D116" s="103" t="s">
        <v>74</v>
      </c>
      <c r="E116" s="94" t="s">
        <v>19</v>
      </c>
      <c r="F116" s="45" t="s">
        <v>20</v>
      </c>
      <c r="G116" s="38"/>
    </row>
    <row r="117">
      <c r="A117" s="91" t="s">
        <v>16</v>
      </c>
      <c r="B117" s="92" t="s">
        <v>75</v>
      </c>
      <c r="C117" s="92" t="s">
        <v>76</v>
      </c>
      <c r="D117" s="93"/>
      <c r="E117" s="94" t="s">
        <v>77</v>
      </c>
      <c r="F117" s="45" t="s">
        <v>20</v>
      </c>
      <c r="G117" s="38"/>
    </row>
    <row r="118">
      <c r="A118" s="91" t="s">
        <v>16</v>
      </c>
      <c r="B118" s="92" t="s">
        <v>92</v>
      </c>
      <c r="C118" s="113"/>
      <c r="D118" s="93"/>
      <c r="E118" s="94" t="s">
        <v>19</v>
      </c>
      <c r="F118" s="45" t="s">
        <v>20</v>
      </c>
      <c r="G118" s="38"/>
    </row>
    <row r="119">
      <c r="A119" s="91" t="s">
        <v>16</v>
      </c>
      <c r="B119" s="92" t="s">
        <v>139</v>
      </c>
      <c r="C119" s="113"/>
      <c r="D119" s="103" t="s">
        <v>140</v>
      </c>
      <c r="E119" s="94" t="s">
        <v>141</v>
      </c>
      <c r="F119" s="45" t="s">
        <v>20</v>
      </c>
      <c r="G119" s="38"/>
    </row>
    <row r="120">
      <c r="A120" s="114" t="s">
        <v>16</v>
      </c>
      <c r="B120" s="115" t="s">
        <v>181</v>
      </c>
      <c r="C120" s="115" t="s">
        <v>182</v>
      </c>
      <c r="D120" s="116"/>
      <c r="E120" s="117" t="s">
        <v>19</v>
      </c>
      <c r="F120" s="56" t="s">
        <v>278</v>
      </c>
      <c r="G120" s="38"/>
    </row>
    <row r="121">
      <c r="A121" s="114" t="s">
        <v>16</v>
      </c>
      <c r="B121" s="115" t="s">
        <v>236</v>
      </c>
      <c r="C121" s="115" t="s">
        <v>237</v>
      </c>
      <c r="D121" s="116"/>
      <c r="E121" s="117" t="s">
        <v>19</v>
      </c>
      <c r="F121" s="56" t="s">
        <v>278</v>
      </c>
      <c r="G121" s="38"/>
    </row>
    <row r="122">
      <c r="A122" s="114" t="s">
        <v>16</v>
      </c>
      <c r="B122" s="115" t="s">
        <v>238</v>
      </c>
      <c r="C122" s="115" t="s">
        <v>239</v>
      </c>
      <c r="D122" s="116"/>
      <c r="E122" s="117" t="s">
        <v>240</v>
      </c>
      <c r="F122" s="56" t="s">
        <v>278</v>
      </c>
      <c r="G122" s="38"/>
    </row>
    <row r="123">
      <c r="A123" s="114" t="s">
        <v>16</v>
      </c>
      <c r="B123" s="115" t="s">
        <v>241</v>
      </c>
      <c r="C123" s="115" t="s">
        <v>242</v>
      </c>
      <c r="D123" s="116"/>
      <c r="E123" s="117" t="s">
        <v>19</v>
      </c>
      <c r="F123" s="56" t="s">
        <v>278</v>
      </c>
      <c r="G123" s="38"/>
    </row>
    <row r="124">
      <c r="A124" s="85" t="s">
        <v>16</v>
      </c>
      <c r="B124" s="109" t="s">
        <v>245</v>
      </c>
      <c r="C124" s="112"/>
      <c r="D124" s="110"/>
      <c r="E124" s="111"/>
      <c r="F124" s="56" t="s">
        <v>278</v>
      </c>
      <c r="G124" s="38"/>
    </row>
    <row r="125">
      <c r="A125" s="114" t="s">
        <v>16</v>
      </c>
      <c r="B125" s="115" t="s">
        <v>174</v>
      </c>
      <c r="C125" s="118"/>
      <c r="D125" s="116"/>
      <c r="E125" s="117" t="s">
        <v>148</v>
      </c>
      <c r="F125" s="45" t="s">
        <v>147</v>
      </c>
      <c r="G125" s="38"/>
    </row>
    <row r="126">
      <c r="A126" s="114" t="s">
        <v>16</v>
      </c>
      <c r="B126" s="115" t="s">
        <v>146</v>
      </c>
      <c r="C126" s="118"/>
      <c r="D126" s="116"/>
      <c r="E126" s="117" t="s">
        <v>148</v>
      </c>
      <c r="F126" s="45" t="s">
        <v>147</v>
      </c>
      <c r="G126" s="38"/>
    </row>
    <row r="127">
      <c r="A127" s="114" t="s">
        <v>16</v>
      </c>
      <c r="B127" s="115" t="s">
        <v>171</v>
      </c>
      <c r="C127" s="118"/>
      <c r="D127" s="116"/>
      <c r="E127" s="117" t="s">
        <v>148</v>
      </c>
      <c r="F127" s="45" t="s">
        <v>147</v>
      </c>
      <c r="G127" s="38"/>
    </row>
    <row r="128">
      <c r="A128" s="114" t="s">
        <v>16</v>
      </c>
      <c r="B128" s="115" t="s">
        <v>167</v>
      </c>
      <c r="C128" s="118"/>
      <c r="D128" s="116"/>
      <c r="E128" s="117" t="s">
        <v>148</v>
      </c>
      <c r="F128" s="45" t="s">
        <v>147</v>
      </c>
      <c r="G128" s="38"/>
    </row>
    <row r="129">
      <c r="B129" s="35"/>
      <c r="C129" s="35"/>
      <c r="G129" s="38"/>
    </row>
    <row r="130">
      <c r="A130" s="60"/>
      <c r="B130" s="61"/>
      <c r="C130" s="61"/>
      <c r="D130" s="62"/>
      <c r="E130" s="62"/>
      <c r="F130" s="62"/>
      <c r="G130" s="38"/>
    </row>
    <row r="131">
      <c r="A131" s="63" t="s">
        <v>279</v>
      </c>
      <c r="G131" s="38"/>
    </row>
    <row r="132">
      <c r="A132" s="39" t="s">
        <v>0</v>
      </c>
      <c r="B132" s="40" t="s">
        <v>273</v>
      </c>
      <c r="C132" s="40" t="s">
        <v>274</v>
      </c>
      <c r="D132" s="39" t="s">
        <v>275</v>
      </c>
      <c r="E132" s="39" t="s">
        <v>276</v>
      </c>
      <c r="F132" s="39" t="s">
        <v>5</v>
      </c>
      <c r="G132" s="38"/>
    </row>
    <row r="133">
      <c r="A133" s="99" t="s">
        <v>16</v>
      </c>
      <c r="B133" s="119" t="s">
        <v>210</v>
      </c>
      <c r="C133" s="119" t="s">
        <v>211</v>
      </c>
      <c r="D133" s="120"/>
      <c r="E133" s="121" t="s">
        <v>36</v>
      </c>
      <c r="F133" s="56" t="s">
        <v>278</v>
      </c>
      <c r="G133" s="38"/>
    </row>
    <row r="134">
      <c r="A134" s="99" t="s">
        <v>16</v>
      </c>
      <c r="B134" s="119" t="s">
        <v>253</v>
      </c>
      <c r="C134" s="119" t="s">
        <v>254</v>
      </c>
      <c r="D134" s="120"/>
      <c r="E134" s="121" t="s">
        <v>55</v>
      </c>
      <c r="F134" s="56" t="s">
        <v>278</v>
      </c>
      <c r="G134" s="38"/>
    </row>
    <row r="135">
      <c r="A135" s="99" t="s">
        <v>16</v>
      </c>
      <c r="B135" s="119" t="s">
        <v>231</v>
      </c>
      <c r="C135" s="119" t="s">
        <v>232</v>
      </c>
      <c r="D135" s="120"/>
      <c r="E135" s="121" t="s">
        <v>36</v>
      </c>
      <c r="F135" s="56" t="s">
        <v>278</v>
      </c>
      <c r="G135" s="38"/>
    </row>
    <row r="136">
      <c r="A136" s="99" t="s">
        <v>16</v>
      </c>
      <c r="B136" s="119" t="s">
        <v>152</v>
      </c>
      <c r="C136" s="122"/>
      <c r="D136" s="120"/>
      <c r="E136" s="121" t="s">
        <v>153</v>
      </c>
      <c r="F136" s="45" t="s">
        <v>147</v>
      </c>
      <c r="G136" s="38"/>
    </row>
    <row r="137">
      <c r="A137" s="99" t="s">
        <v>16</v>
      </c>
      <c r="B137" s="119" t="s">
        <v>175</v>
      </c>
      <c r="C137" s="122"/>
      <c r="D137" s="120"/>
      <c r="E137" s="121" t="s">
        <v>176</v>
      </c>
      <c r="F137" s="45" t="s">
        <v>147</v>
      </c>
      <c r="G137" s="38"/>
    </row>
    <row r="138">
      <c r="A138" s="99" t="s">
        <v>16</v>
      </c>
      <c r="B138" s="119" t="s">
        <v>180</v>
      </c>
      <c r="C138" s="122"/>
      <c r="D138" s="120"/>
      <c r="E138" s="121" t="s">
        <v>176</v>
      </c>
      <c r="F138" s="45" t="s">
        <v>147</v>
      </c>
      <c r="G138" s="38"/>
    </row>
    <row r="139">
      <c r="A139" s="19"/>
      <c r="B139" s="35"/>
      <c r="C139" s="35"/>
      <c r="G139" s="38"/>
    </row>
    <row r="140">
      <c r="A140" s="19"/>
      <c r="B140" s="35"/>
      <c r="C140" s="35"/>
      <c r="G140" s="38"/>
    </row>
    <row r="141">
      <c r="A141" s="19"/>
      <c r="B141" s="35"/>
      <c r="C141" s="35"/>
      <c r="G141" s="38"/>
    </row>
    <row r="142">
      <c r="A142" s="123" t="s">
        <v>283</v>
      </c>
      <c r="G142" s="124"/>
    </row>
    <row r="143">
      <c r="A143" s="125" t="s">
        <v>0</v>
      </c>
      <c r="B143" s="126" t="s">
        <v>273</v>
      </c>
      <c r="C143" s="126" t="s">
        <v>274</v>
      </c>
      <c r="D143" s="125" t="s">
        <v>275</v>
      </c>
      <c r="E143" s="125" t="s">
        <v>276</v>
      </c>
      <c r="F143" s="125" t="s">
        <v>5</v>
      </c>
      <c r="G143" s="127" t="s">
        <v>284</v>
      </c>
    </row>
    <row r="144">
      <c r="A144" s="99" t="s">
        <v>16</v>
      </c>
      <c r="B144" s="100" t="s">
        <v>170</v>
      </c>
      <c r="C144" s="105"/>
      <c r="D144" s="101"/>
      <c r="E144" s="102" t="s">
        <v>169</v>
      </c>
      <c r="F144" s="56" t="s">
        <v>147</v>
      </c>
      <c r="G144" s="128"/>
      <c r="H144" s="129"/>
    </row>
    <row r="145">
      <c r="A145" s="99" t="s">
        <v>16</v>
      </c>
      <c r="B145" s="100" t="s">
        <v>168</v>
      </c>
      <c r="C145" s="105"/>
      <c r="D145" s="101"/>
      <c r="E145" s="102" t="s">
        <v>169</v>
      </c>
      <c r="F145" s="56" t="s">
        <v>147</v>
      </c>
      <c r="G145" s="128"/>
      <c r="H145" s="129"/>
    </row>
    <row r="146">
      <c r="A146" s="84" t="str">
        <f>HYPERLINK("https://bdgrowthsuite.com/tools/e-commerce-for-bd-sites", "View Tool")</f>
        <v>View Tool</v>
      </c>
      <c r="B146" s="130" t="s">
        <v>165</v>
      </c>
      <c r="C146" s="130"/>
      <c r="D146" s="131"/>
      <c r="E146" s="131" t="s">
        <v>166</v>
      </c>
      <c r="F146" s="56" t="s">
        <v>147</v>
      </c>
      <c r="G146" s="132" t="s">
        <v>285</v>
      </c>
      <c r="H146" s="129"/>
    </row>
    <row r="147">
      <c r="A147" s="106" t="s">
        <v>16</v>
      </c>
      <c r="B147" s="96" t="s">
        <v>96</v>
      </c>
      <c r="C147" s="96" t="s">
        <v>97</v>
      </c>
      <c r="D147" s="107" t="s">
        <v>97</v>
      </c>
      <c r="E147" s="98"/>
      <c r="F147" s="56" t="s">
        <v>20</v>
      </c>
      <c r="G147" s="132" t="s">
        <v>286</v>
      </c>
      <c r="H147" s="129"/>
    </row>
    <row r="148">
      <c r="A148" s="95" t="s">
        <v>16</v>
      </c>
      <c r="B148" s="96" t="s">
        <v>98</v>
      </c>
      <c r="C148" s="96" t="s">
        <v>99</v>
      </c>
      <c r="D148" s="107" t="s">
        <v>99</v>
      </c>
      <c r="E148" s="98"/>
      <c r="F148" s="56" t="s">
        <v>20</v>
      </c>
      <c r="G148" s="132" t="s">
        <v>287</v>
      </c>
      <c r="H148" s="129"/>
    </row>
    <row r="149">
      <c r="B149" s="35"/>
      <c r="C149" s="35"/>
      <c r="G149" s="38"/>
      <c r="H149" s="129"/>
    </row>
    <row r="150">
      <c r="B150" s="35"/>
      <c r="C150" s="35"/>
      <c r="G150" s="38"/>
    </row>
    <row r="151">
      <c r="B151" s="35"/>
      <c r="C151" s="35"/>
      <c r="G151" s="38"/>
    </row>
    <row r="152">
      <c r="A152" s="133" t="s">
        <v>288</v>
      </c>
      <c r="B152" s="134"/>
      <c r="C152" s="134"/>
      <c r="D152" s="134"/>
      <c r="E152" s="135"/>
      <c r="G152" s="38"/>
    </row>
    <row r="153">
      <c r="A153" s="136" t="s">
        <v>289</v>
      </c>
      <c r="E153" s="137"/>
      <c r="G153" s="38"/>
    </row>
    <row r="154">
      <c r="A154" s="136" t="s">
        <v>290</v>
      </c>
      <c r="E154" s="137"/>
      <c r="G154" s="38"/>
    </row>
    <row r="155">
      <c r="A155" s="136" t="s">
        <v>291</v>
      </c>
      <c r="E155" s="137"/>
      <c r="G155" s="38"/>
    </row>
    <row r="156">
      <c r="A156" s="136" t="s">
        <v>292</v>
      </c>
      <c r="E156" s="137"/>
      <c r="G156" s="38"/>
    </row>
    <row r="157">
      <c r="A157" s="136" t="s">
        <v>293</v>
      </c>
      <c r="E157" s="137"/>
      <c r="G157" s="38"/>
    </row>
    <row r="158">
      <c r="A158" s="138" t="s">
        <v>294</v>
      </c>
      <c r="B158" s="139"/>
      <c r="C158" s="139"/>
      <c r="D158" s="139"/>
      <c r="E158" s="140"/>
      <c r="G158" s="38"/>
    </row>
    <row r="159">
      <c r="A159" s="19"/>
      <c r="B159" s="35"/>
      <c r="C159" s="35"/>
      <c r="G159" s="38"/>
    </row>
    <row r="160">
      <c r="A160" s="19"/>
      <c r="B160" s="35"/>
      <c r="C160" s="35"/>
      <c r="G160" s="38"/>
    </row>
    <row r="161">
      <c r="A161" s="19"/>
      <c r="B161" s="35"/>
      <c r="C161" s="35"/>
      <c r="G161" s="38"/>
    </row>
    <row r="162">
      <c r="A162" s="19"/>
      <c r="B162" s="35"/>
      <c r="C162" s="35"/>
      <c r="G162" s="38"/>
    </row>
    <row r="163">
      <c r="A163" s="19"/>
      <c r="B163" s="35"/>
      <c r="C163" s="35"/>
      <c r="G163" s="38"/>
    </row>
    <row r="164">
      <c r="A164" s="19"/>
      <c r="B164" s="35"/>
      <c r="C164" s="35"/>
      <c r="G164" s="38"/>
    </row>
    <row r="165">
      <c r="A165" s="19"/>
      <c r="B165" s="35"/>
      <c r="C165" s="35"/>
      <c r="G165" s="38"/>
    </row>
    <row r="166">
      <c r="A166" s="19"/>
      <c r="B166" s="35"/>
      <c r="C166" s="35"/>
      <c r="G166" s="38"/>
    </row>
    <row r="167">
      <c r="A167" s="19"/>
      <c r="B167" s="35"/>
      <c r="C167" s="35"/>
      <c r="G167" s="38"/>
    </row>
    <row r="168">
      <c r="A168" s="19"/>
      <c r="B168" s="35"/>
      <c r="C168" s="35"/>
      <c r="G168" s="38"/>
    </row>
    <row r="169">
      <c r="A169" s="19"/>
      <c r="B169" s="35"/>
      <c r="C169" s="35"/>
      <c r="G169" s="38"/>
    </row>
    <row r="170">
      <c r="A170" s="19"/>
      <c r="B170" s="35"/>
      <c r="C170" s="35"/>
      <c r="G170" s="38"/>
    </row>
    <row r="171">
      <c r="A171" s="19"/>
      <c r="B171" s="35"/>
      <c r="C171" s="35"/>
      <c r="G171" s="38"/>
    </row>
    <row r="172">
      <c r="A172" s="19"/>
      <c r="B172" s="35"/>
      <c r="C172" s="35"/>
      <c r="G172" s="38"/>
    </row>
    <row r="173">
      <c r="A173" s="19"/>
      <c r="B173" s="35"/>
      <c r="C173" s="35"/>
      <c r="G173" s="38"/>
    </row>
    <row r="174">
      <c r="A174" s="19"/>
      <c r="B174" s="35"/>
      <c r="C174" s="35"/>
      <c r="G174" s="38"/>
    </row>
    <row r="175">
      <c r="A175" s="19"/>
      <c r="B175" s="35"/>
      <c r="C175" s="35"/>
      <c r="G175" s="38"/>
    </row>
    <row r="176">
      <c r="A176" s="19"/>
      <c r="B176" s="35"/>
      <c r="C176" s="35"/>
      <c r="G176" s="38"/>
    </row>
    <row r="177">
      <c r="A177" s="19"/>
      <c r="B177" s="35"/>
      <c r="C177" s="35"/>
      <c r="G177" s="38"/>
    </row>
    <row r="178">
      <c r="A178" s="19"/>
      <c r="B178" s="35"/>
      <c r="C178" s="35"/>
      <c r="G178" s="38"/>
    </row>
    <row r="179">
      <c r="A179" s="19"/>
      <c r="B179" s="35"/>
      <c r="C179" s="35"/>
      <c r="G179" s="38"/>
    </row>
    <row r="180">
      <c r="A180" s="19"/>
      <c r="B180" s="35"/>
      <c r="C180" s="35"/>
      <c r="G180" s="38"/>
    </row>
    <row r="181">
      <c r="A181" s="19"/>
      <c r="B181" s="35"/>
      <c r="C181" s="35"/>
      <c r="G181" s="38"/>
    </row>
    <row r="182">
      <c r="A182" s="19"/>
      <c r="B182" s="35"/>
      <c r="C182" s="35"/>
      <c r="G182" s="38"/>
    </row>
    <row r="183">
      <c r="A183" s="19"/>
      <c r="B183" s="35"/>
      <c r="C183" s="35"/>
      <c r="G183" s="38"/>
    </row>
    <row r="184">
      <c r="A184" s="19"/>
      <c r="B184" s="35"/>
      <c r="C184" s="35"/>
      <c r="G184" s="38"/>
    </row>
    <row r="185">
      <c r="A185" s="19"/>
      <c r="B185" s="35"/>
      <c r="C185" s="35"/>
      <c r="G185" s="38"/>
    </row>
    <row r="186">
      <c r="A186" s="19"/>
      <c r="B186" s="35"/>
      <c r="C186" s="35"/>
      <c r="G186" s="38"/>
    </row>
    <row r="187">
      <c r="A187" s="19"/>
      <c r="B187" s="35"/>
      <c r="C187" s="35"/>
      <c r="G187" s="38"/>
    </row>
    <row r="188">
      <c r="A188" s="19"/>
      <c r="B188" s="35"/>
      <c r="C188" s="35"/>
      <c r="G188" s="38"/>
    </row>
    <row r="189">
      <c r="A189" s="19"/>
      <c r="B189" s="35"/>
      <c r="C189" s="35"/>
      <c r="G189" s="38"/>
    </row>
    <row r="190">
      <c r="A190" s="19"/>
      <c r="B190" s="35"/>
      <c r="C190" s="35"/>
      <c r="G190" s="38"/>
    </row>
    <row r="191">
      <c r="A191" s="19"/>
      <c r="B191" s="35"/>
      <c r="C191" s="35"/>
      <c r="G191" s="38"/>
    </row>
    <row r="192">
      <c r="A192" s="19"/>
      <c r="B192" s="35"/>
      <c r="C192" s="35"/>
      <c r="G192" s="38"/>
    </row>
    <row r="193">
      <c r="A193" s="19"/>
      <c r="B193" s="35"/>
      <c r="C193" s="35"/>
      <c r="G193" s="38"/>
    </row>
    <row r="194">
      <c r="A194" s="19"/>
      <c r="B194" s="35"/>
      <c r="C194" s="35"/>
      <c r="G194" s="38"/>
    </row>
    <row r="195">
      <c r="A195" s="19"/>
      <c r="B195" s="35"/>
      <c r="C195" s="35"/>
      <c r="G195" s="38"/>
    </row>
    <row r="196">
      <c r="A196" s="19"/>
      <c r="B196" s="35"/>
      <c r="C196" s="35"/>
      <c r="G196" s="38"/>
    </row>
    <row r="197">
      <c r="A197" s="19"/>
      <c r="B197" s="35"/>
      <c r="C197" s="35"/>
      <c r="G197" s="38"/>
    </row>
    <row r="198">
      <c r="A198" s="19"/>
      <c r="B198" s="35"/>
      <c r="C198" s="35"/>
      <c r="G198" s="38"/>
    </row>
    <row r="199">
      <c r="A199" s="19"/>
      <c r="B199" s="35"/>
      <c r="C199" s="35"/>
      <c r="G199" s="38"/>
    </row>
    <row r="200">
      <c r="A200" s="19"/>
      <c r="B200" s="35"/>
      <c r="C200" s="35"/>
      <c r="G200" s="38"/>
    </row>
    <row r="201">
      <c r="A201" s="19"/>
      <c r="B201" s="35"/>
      <c r="C201" s="35"/>
      <c r="G201" s="38"/>
    </row>
    <row r="202">
      <c r="A202" s="19"/>
      <c r="B202" s="35"/>
      <c r="C202" s="35"/>
      <c r="G202" s="38"/>
    </row>
    <row r="203">
      <c r="A203" s="19"/>
      <c r="B203" s="35"/>
      <c r="C203" s="35"/>
      <c r="G203" s="38"/>
    </row>
    <row r="204">
      <c r="A204" s="19"/>
      <c r="B204" s="35"/>
      <c r="C204" s="35"/>
      <c r="G204" s="38"/>
    </row>
    <row r="205">
      <c r="A205" s="19"/>
      <c r="B205" s="35"/>
      <c r="C205" s="35"/>
      <c r="G205" s="38"/>
    </row>
    <row r="206">
      <c r="A206" s="19"/>
      <c r="B206" s="35"/>
      <c r="C206" s="35"/>
      <c r="G206" s="38"/>
    </row>
    <row r="207">
      <c r="A207" s="19"/>
      <c r="B207" s="35"/>
      <c r="C207" s="35"/>
      <c r="G207" s="38"/>
    </row>
    <row r="208">
      <c r="A208" s="19"/>
      <c r="B208" s="35"/>
      <c r="C208" s="35"/>
      <c r="G208" s="38"/>
    </row>
    <row r="209">
      <c r="A209" s="19"/>
      <c r="B209" s="35"/>
      <c r="C209" s="35"/>
      <c r="G209" s="38"/>
    </row>
    <row r="210">
      <c r="A210" s="19"/>
      <c r="B210" s="35"/>
      <c r="C210" s="35"/>
      <c r="G210" s="38"/>
    </row>
    <row r="211">
      <c r="A211" s="19"/>
      <c r="B211" s="35"/>
      <c r="C211" s="35"/>
      <c r="G211" s="38"/>
    </row>
    <row r="212">
      <c r="A212" s="19"/>
      <c r="B212" s="35"/>
      <c r="C212" s="35"/>
      <c r="G212" s="38"/>
    </row>
    <row r="213">
      <c r="A213" s="19"/>
      <c r="B213" s="35"/>
      <c r="C213" s="35"/>
      <c r="G213" s="38"/>
    </row>
    <row r="214">
      <c r="A214" s="19"/>
      <c r="B214" s="35"/>
      <c r="C214" s="35"/>
      <c r="G214" s="38"/>
    </row>
    <row r="215">
      <c r="A215" s="19"/>
      <c r="B215" s="35"/>
      <c r="C215" s="35"/>
      <c r="G215" s="38"/>
    </row>
    <row r="216">
      <c r="A216" s="19"/>
      <c r="B216" s="35"/>
      <c r="C216" s="35"/>
      <c r="G216" s="38"/>
    </row>
    <row r="217">
      <c r="A217" s="19"/>
      <c r="B217" s="35"/>
      <c r="C217" s="35"/>
      <c r="G217" s="38"/>
    </row>
    <row r="218">
      <c r="A218" s="19"/>
      <c r="B218" s="35"/>
      <c r="C218" s="35"/>
      <c r="G218" s="38"/>
    </row>
    <row r="219">
      <c r="A219" s="19"/>
      <c r="B219" s="35"/>
      <c r="C219" s="35"/>
      <c r="G219" s="38"/>
    </row>
    <row r="220">
      <c r="A220" s="19"/>
      <c r="B220" s="35"/>
      <c r="C220" s="35"/>
      <c r="G220" s="38"/>
    </row>
    <row r="221">
      <c r="A221" s="19"/>
      <c r="B221" s="35"/>
      <c r="C221" s="35"/>
      <c r="G221" s="38"/>
    </row>
    <row r="222">
      <c r="A222" s="19"/>
      <c r="B222" s="35"/>
      <c r="C222" s="35"/>
      <c r="G222" s="38"/>
    </row>
    <row r="223">
      <c r="A223" s="19"/>
      <c r="B223" s="35"/>
      <c r="C223" s="35"/>
      <c r="G223" s="38"/>
    </row>
    <row r="224">
      <c r="A224" s="19"/>
      <c r="B224" s="35"/>
      <c r="C224" s="35"/>
      <c r="G224" s="38"/>
    </row>
    <row r="225">
      <c r="A225" s="19"/>
      <c r="B225" s="35"/>
      <c r="C225" s="35"/>
      <c r="G225" s="38"/>
    </row>
    <row r="226">
      <c r="A226" s="19"/>
      <c r="B226" s="35"/>
      <c r="C226" s="35"/>
      <c r="G226" s="38"/>
    </row>
    <row r="227">
      <c r="A227" s="19"/>
      <c r="B227" s="35"/>
      <c r="C227" s="35"/>
      <c r="G227" s="38"/>
    </row>
    <row r="228">
      <c r="A228" s="19"/>
      <c r="B228" s="35"/>
      <c r="C228" s="35"/>
      <c r="G228" s="38"/>
    </row>
    <row r="229">
      <c r="A229" s="19"/>
      <c r="B229" s="35"/>
      <c r="C229" s="35"/>
      <c r="G229" s="38"/>
    </row>
    <row r="230">
      <c r="A230" s="19"/>
      <c r="B230" s="35"/>
      <c r="C230" s="35"/>
      <c r="G230" s="38"/>
    </row>
    <row r="231">
      <c r="A231" s="19"/>
      <c r="B231" s="35"/>
      <c r="C231" s="35"/>
      <c r="G231" s="38"/>
    </row>
    <row r="232">
      <c r="A232" s="19"/>
      <c r="B232" s="35"/>
      <c r="C232" s="35"/>
      <c r="G232" s="38"/>
    </row>
    <row r="233">
      <c r="A233" s="19"/>
      <c r="B233" s="35"/>
      <c r="C233" s="35"/>
      <c r="G233" s="38"/>
    </row>
    <row r="234">
      <c r="A234" s="19"/>
      <c r="B234" s="35"/>
      <c r="C234" s="35"/>
      <c r="G234" s="38"/>
    </row>
    <row r="235">
      <c r="A235" s="19"/>
      <c r="B235" s="35"/>
      <c r="C235" s="35"/>
      <c r="G235" s="38"/>
    </row>
    <row r="236">
      <c r="A236" s="19"/>
      <c r="B236" s="35"/>
      <c r="C236" s="35"/>
      <c r="G236" s="38"/>
    </row>
    <row r="237">
      <c r="A237" s="19"/>
      <c r="B237" s="35"/>
      <c r="C237" s="35"/>
      <c r="G237" s="38"/>
    </row>
    <row r="238">
      <c r="A238" s="19"/>
      <c r="B238" s="35"/>
      <c r="C238" s="35"/>
      <c r="G238" s="38"/>
    </row>
    <row r="239">
      <c r="A239" s="19"/>
      <c r="B239" s="35"/>
      <c r="C239" s="35"/>
      <c r="G239" s="38"/>
    </row>
    <row r="240">
      <c r="A240" s="19"/>
      <c r="B240" s="35"/>
      <c r="C240" s="35"/>
      <c r="G240" s="38"/>
    </row>
    <row r="241">
      <c r="A241" s="19"/>
      <c r="B241" s="35"/>
      <c r="C241" s="35"/>
      <c r="G241" s="38"/>
    </row>
    <row r="242">
      <c r="A242" s="19"/>
      <c r="B242" s="35"/>
      <c r="C242" s="35"/>
      <c r="G242" s="38"/>
    </row>
    <row r="243">
      <c r="A243" s="19"/>
      <c r="B243" s="35"/>
      <c r="C243" s="35"/>
      <c r="G243" s="38"/>
    </row>
    <row r="244">
      <c r="A244" s="19"/>
      <c r="B244" s="35"/>
      <c r="C244" s="35"/>
      <c r="G244" s="38"/>
    </row>
    <row r="245">
      <c r="A245" s="19"/>
      <c r="B245" s="35"/>
      <c r="C245" s="35"/>
      <c r="G245" s="38"/>
    </row>
    <row r="246">
      <c r="A246" s="19"/>
      <c r="B246" s="35"/>
      <c r="C246" s="35"/>
      <c r="G246" s="38"/>
    </row>
    <row r="247">
      <c r="A247" s="19"/>
      <c r="B247" s="35"/>
      <c r="C247" s="35"/>
      <c r="G247" s="38"/>
    </row>
    <row r="248">
      <c r="A248" s="19"/>
      <c r="B248" s="35"/>
      <c r="C248" s="35"/>
      <c r="G248" s="38"/>
    </row>
    <row r="249">
      <c r="A249" s="19"/>
      <c r="B249" s="35"/>
      <c r="C249" s="35"/>
      <c r="G249" s="38"/>
    </row>
    <row r="250">
      <c r="A250" s="19"/>
      <c r="B250" s="35"/>
      <c r="C250" s="35"/>
      <c r="G250" s="38"/>
    </row>
    <row r="251">
      <c r="A251" s="19"/>
      <c r="B251" s="35"/>
      <c r="C251" s="35"/>
      <c r="G251" s="38"/>
    </row>
    <row r="252">
      <c r="A252" s="19"/>
      <c r="B252" s="35"/>
      <c r="C252" s="35"/>
      <c r="G252" s="38"/>
    </row>
    <row r="253">
      <c r="A253" s="19"/>
      <c r="B253" s="35"/>
      <c r="C253" s="35"/>
      <c r="G253" s="38"/>
    </row>
    <row r="254">
      <c r="A254" s="19"/>
      <c r="B254" s="35"/>
      <c r="C254" s="35"/>
      <c r="G254" s="38"/>
    </row>
    <row r="255">
      <c r="A255" s="19"/>
      <c r="B255" s="35"/>
      <c r="C255" s="35"/>
      <c r="G255" s="38"/>
    </row>
    <row r="256">
      <c r="A256" s="19"/>
      <c r="B256" s="35"/>
      <c r="C256" s="35"/>
      <c r="G256" s="38"/>
    </row>
    <row r="257">
      <c r="A257" s="19"/>
      <c r="B257" s="35"/>
      <c r="C257" s="35"/>
      <c r="G257" s="38"/>
    </row>
    <row r="258">
      <c r="A258" s="19"/>
      <c r="B258" s="35"/>
      <c r="C258" s="35"/>
      <c r="G258" s="38"/>
    </row>
    <row r="259">
      <c r="A259" s="19"/>
      <c r="B259" s="35"/>
      <c r="C259" s="35"/>
      <c r="G259" s="38"/>
    </row>
    <row r="260">
      <c r="A260" s="19"/>
      <c r="B260" s="35"/>
      <c r="C260" s="35"/>
      <c r="G260" s="38"/>
    </row>
    <row r="261">
      <c r="A261" s="19"/>
      <c r="B261" s="35"/>
      <c r="C261" s="35"/>
      <c r="G261" s="38"/>
    </row>
    <row r="262">
      <c r="A262" s="19"/>
      <c r="B262" s="35"/>
      <c r="C262" s="35"/>
      <c r="G262" s="38"/>
    </row>
    <row r="263">
      <c r="A263" s="19"/>
      <c r="B263" s="35"/>
      <c r="C263" s="35"/>
      <c r="G263" s="38"/>
    </row>
    <row r="264">
      <c r="A264" s="19"/>
      <c r="B264" s="35"/>
      <c r="C264" s="35"/>
      <c r="G264" s="38"/>
    </row>
    <row r="265">
      <c r="A265" s="19"/>
      <c r="B265" s="35"/>
      <c r="C265" s="35"/>
      <c r="G265" s="38"/>
    </row>
    <row r="266">
      <c r="A266" s="19"/>
      <c r="B266" s="35"/>
      <c r="C266" s="35"/>
      <c r="G266" s="38"/>
    </row>
    <row r="267">
      <c r="A267" s="19"/>
      <c r="B267" s="35"/>
      <c r="C267" s="35"/>
      <c r="G267" s="38"/>
    </row>
    <row r="268">
      <c r="A268" s="19"/>
      <c r="B268" s="35"/>
      <c r="C268" s="35"/>
      <c r="G268" s="38"/>
    </row>
    <row r="269">
      <c r="A269" s="19"/>
      <c r="B269" s="35"/>
      <c r="C269" s="35"/>
      <c r="G269" s="38"/>
    </row>
    <row r="270">
      <c r="A270" s="19"/>
      <c r="B270" s="35"/>
      <c r="C270" s="35"/>
      <c r="G270" s="38"/>
    </row>
    <row r="271">
      <c r="A271" s="19"/>
      <c r="B271" s="35"/>
      <c r="C271" s="35"/>
      <c r="G271" s="38"/>
    </row>
    <row r="272">
      <c r="A272" s="19"/>
      <c r="B272" s="35"/>
      <c r="C272" s="35"/>
      <c r="G272" s="38"/>
    </row>
    <row r="273">
      <c r="A273" s="19"/>
      <c r="B273" s="35"/>
      <c r="C273" s="35"/>
      <c r="G273" s="38"/>
    </row>
    <row r="274">
      <c r="A274" s="19"/>
      <c r="B274" s="35"/>
      <c r="C274" s="35"/>
      <c r="G274" s="38"/>
    </row>
    <row r="275">
      <c r="A275" s="19"/>
      <c r="B275" s="35"/>
      <c r="C275" s="35"/>
      <c r="G275" s="38"/>
    </row>
    <row r="276">
      <c r="A276" s="19"/>
      <c r="B276" s="35"/>
      <c r="C276" s="35"/>
      <c r="G276" s="38"/>
    </row>
    <row r="277">
      <c r="A277" s="19"/>
      <c r="B277" s="35"/>
      <c r="C277" s="35"/>
      <c r="G277" s="38"/>
    </row>
    <row r="278">
      <c r="A278" s="19"/>
      <c r="B278" s="35"/>
      <c r="C278" s="35"/>
      <c r="G278" s="38"/>
    </row>
    <row r="279">
      <c r="A279" s="19"/>
      <c r="B279" s="35"/>
      <c r="C279" s="35"/>
      <c r="G279" s="38"/>
    </row>
    <row r="280">
      <c r="A280" s="19"/>
      <c r="B280" s="35"/>
      <c r="C280" s="35"/>
      <c r="G280" s="38"/>
    </row>
    <row r="281">
      <c r="A281" s="19"/>
      <c r="B281" s="35"/>
      <c r="C281" s="35"/>
      <c r="G281" s="38"/>
    </row>
    <row r="282">
      <c r="A282" s="19"/>
      <c r="B282" s="35"/>
      <c r="C282" s="35"/>
      <c r="G282" s="38"/>
    </row>
    <row r="283">
      <c r="A283" s="19"/>
      <c r="B283" s="35"/>
      <c r="C283" s="35"/>
      <c r="G283" s="38"/>
    </row>
    <row r="284">
      <c r="A284" s="19"/>
      <c r="B284" s="35"/>
      <c r="C284" s="35"/>
      <c r="G284" s="38"/>
    </row>
    <row r="285">
      <c r="A285" s="19"/>
      <c r="B285" s="35"/>
      <c r="C285" s="35"/>
      <c r="G285" s="38"/>
    </row>
    <row r="286">
      <c r="A286" s="19"/>
      <c r="B286" s="35"/>
      <c r="C286" s="35"/>
      <c r="G286" s="38"/>
    </row>
    <row r="287">
      <c r="A287" s="19"/>
      <c r="B287" s="35"/>
      <c r="C287" s="35"/>
      <c r="G287" s="38"/>
    </row>
    <row r="288">
      <c r="A288" s="19"/>
      <c r="B288" s="35"/>
      <c r="C288" s="35"/>
      <c r="G288" s="38"/>
    </row>
    <row r="289">
      <c r="A289" s="19"/>
      <c r="B289" s="35"/>
      <c r="C289" s="35"/>
      <c r="G289" s="38"/>
    </row>
    <row r="290">
      <c r="A290" s="19"/>
      <c r="B290" s="35"/>
      <c r="C290" s="35"/>
      <c r="G290" s="38"/>
    </row>
    <row r="291">
      <c r="A291" s="19"/>
      <c r="B291" s="35"/>
      <c r="C291" s="35"/>
      <c r="G291" s="38"/>
    </row>
    <row r="292">
      <c r="A292" s="19"/>
      <c r="B292" s="35"/>
      <c r="C292" s="35"/>
      <c r="G292" s="38"/>
    </row>
    <row r="293">
      <c r="A293" s="19"/>
      <c r="B293" s="35"/>
      <c r="C293" s="35"/>
      <c r="G293" s="38"/>
    </row>
    <row r="294">
      <c r="A294" s="19"/>
      <c r="B294" s="35"/>
      <c r="C294" s="35"/>
      <c r="G294" s="38"/>
    </row>
    <row r="295">
      <c r="A295" s="19"/>
      <c r="B295" s="35"/>
      <c r="C295" s="35"/>
      <c r="G295" s="38"/>
    </row>
    <row r="296">
      <c r="A296" s="19"/>
      <c r="B296" s="35"/>
      <c r="C296" s="35"/>
      <c r="G296" s="38"/>
    </row>
    <row r="297">
      <c r="A297" s="19"/>
      <c r="B297" s="35"/>
      <c r="C297" s="35"/>
      <c r="G297" s="38"/>
    </row>
    <row r="298">
      <c r="A298" s="19"/>
      <c r="B298" s="35"/>
      <c r="C298" s="35"/>
      <c r="G298" s="38"/>
    </row>
    <row r="299">
      <c r="A299" s="19"/>
      <c r="B299" s="35"/>
      <c r="C299" s="35"/>
      <c r="G299" s="38"/>
    </row>
    <row r="300">
      <c r="A300" s="19"/>
      <c r="B300" s="35"/>
      <c r="C300" s="35"/>
      <c r="G300" s="38"/>
    </row>
    <row r="301">
      <c r="A301" s="19"/>
      <c r="B301" s="35"/>
      <c r="C301" s="35"/>
      <c r="G301" s="38"/>
    </row>
    <row r="302">
      <c r="A302" s="19"/>
      <c r="B302" s="35"/>
      <c r="C302" s="35"/>
      <c r="G302" s="38"/>
    </row>
    <row r="303">
      <c r="A303" s="19"/>
      <c r="B303" s="35"/>
      <c r="C303" s="35"/>
      <c r="G303" s="38"/>
    </row>
    <row r="304">
      <c r="A304" s="19"/>
      <c r="B304" s="35"/>
      <c r="C304" s="35"/>
      <c r="G304" s="38"/>
    </row>
    <row r="305">
      <c r="A305" s="19"/>
      <c r="B305" s="35"/>
      <c r="C305" s="35"/>
      <c r="G305" s="38"/>
    </row>
    <row r="306">
      <c r="A306" s="19"/>
      <c r="B306" s="35"/>
      <c r="C306" s="35"/>
      <c r="G306" s="38"/>
    </row>
    <row r="307">
      <c r="A307" s="19"/>
      <c r="B307" s="35"/>
      <c r="C307" s="35"/>
      <c r="G307" s="38"/>
    </row>
    <row r="308">
      <c r="A308" s="19"/>
      <c r="B308" s="35"/>
      <c r="C308" s="35"/>
      <c r="G308" s="38"/>
    </row>
    <row r="309">
      <c r="A309" s="19"/>
      <c r="B309" s="35"/>
      <c r="C309" s="35"/>
      <c r="G309" s="38"/>
    </row>
    <row r="310">
      <c r="A310" s="19"/>
      <c r="B310" s="35"/>
      <c r="C310" s="35"/>
      <c r="G310" s="38"/>
    </row>
    <row r="311">
      <c r="A311" s="19"/>
      <c r="B311" s="35"/>
      <c r="C311" s="35"/>
      <c r="G311" s="38"/>
    </row>
    <row r="312">
      <c r="A312" s="19"/>
      <c r="B312" s="35"/>
      <c r="C312" s="35"/>
      <c r="G312" s="38"/>
    </row>
    <row r="313">
      <c r="A313" s="19"/>
      <c r="B313" s="35"/>
      <c r="C313" s="35"/>
      <c r="G313" s="38"/>
    </row>
    <row r="314">
      <c r="A314" s="19"/>
      <c r="B314" s="35"/>
      <c r="C314" s="35"/>
      <c r="G314" s="38"/>
    </row>
    <row r="315">
      <c r="A315" s="19"/>
      <c r="B315" s="35"/>
      <c r="C315" s="35"/>
      <c r="G315" s="38"/>
    </row>
    <row r="316">
      <c r="A316" s="19"/>
      <c r="B316" s="35"/>
      <c r="C316" s="35"/>
      <c r="G316" s="38"/>
    </row>
    <row r="317">
      <c r="A317" s="19"/>
      <c r="B317" s="35"/>
      <c r="C317" s="35"/>
      <c r="G317" s="38"/>
    </row>
    <row r="318">
      <c r="A318" s="19"/>
      <c r="B318" s="35"/>
      <c r="C318" s="35"/>
      <c r="G318" s="38"/>
    </row>
    <row r="319">
      <c r="A319" s="19"/>
      <c r="B319" s="35"/>
      <c r="C319" s="35"/>
      <c r="G319" s="38"/>
    </row>
    <row r="320">
      <c r="A320" s="19"/>
      <c r="B320" s="35"/>
      <c r="C320" s="35"/>
      <c r="G320" s="38"/>
    </row>
    <row r="321">
      <c r="A321" s="19"/>
      <c r="B321" s="35"/>
      <c r="C321" s="35"/>
      <c r="G321" s="38"/>
    </row>
    <row r="322">
      <c r="A322" s="19"/>
      <c r="B322" s="35"/>
      <c r="C322" s="35"/>
      <c r="G322" s="38"/>
    </row>
    <row r="323">
      <c r="A323" s="19"/>
      <c r="B323" s="35"/>
      <c r="C323" s="35"/>
      <c r="G323" s="38"/>
    </row>
    <row r="324">
      <c r="A324" s="19"/>
      <c r="B324" s="35"/>
      <c r="C324" s="35"/>
      <c r="G324" s="38"/>
    </row>
    <row r="325">
      <c r="A325" s="19"/>
      <c r="B325" s="35"/>
      <c r="C325" s="35"/>
      <c r="G325" s="38"/>
    </row>
    <row r="326">
      <c r="A326" s="19"/>
      <c r="B326" s="35"/>
      <c r="C326" s="35"/>
      <c r="G326" s="38"/>
    </row>
    <row r="327">
      <c r="A327" s="19"/>
      <c r="B327" s="35"/>
      <c r="C327" s="35"/>
      <c r="G327" s="38"/>
    </row>
    <row r="328">
      <c r="A328" s="19"/>
      <c r="B328" s="35"/>
      <c r="C328" s="35"/>
      <c r="G328" s="38"/>
    </row>
    <row r="329">
      <c r="A329" s="19"/>
      <c r="B329" s="35"/>
      <c r="C329" s="35"/>
      <c r="G329" s="38"/>
    </row>
    <row r="330">
      <c r="A330" s="19"/>
      <c r="B330" s="35"/>
      <c r="C330" s="35"/>
      <c r="G330" s="38"/>
    </row>
    <row r="331">
      <c r="A331" s="19"/>
      <c r="B331" s="35"/>
      <c r="C331" s="35"/>
      <c r="G331" s="38"/>
    </row>
    <row r="332">
      <c r="A332" s="19"/>
      <c r="B332" s="35"/>
      <c r="C332" s="35"/>
      <c r="G332" s="38"/>
    </row>
    <row r="333">
      <c r="A333" s="19"/>
      <c r="B333" s="35"/>
      <c r="C333" s="35"/>
      <c r="G333" s="38"/>
    </row>
    <row r="334">
      <c r="A334" s="19"/>
      <c r="B334" s="35"/>
      <c r="C334" s="35"/>
      <c r="G334" s="38"/>
    </row>
    <row r="335">
      <c r="A335" s="19"/>
      <c r="B335" s="35"/>
      <c r="C335" s="35"/>
      <c r="G335" s="38"/>
    </row>
    <row r="336">
      <c r="A336" s="19"/>
      <c r="B336" s="35"/>
      <c r="C336" s="35"/>
      <c r="G336" s="38"/>
    </row>
    <row r="337">
      <c r="A337" s="19"/>
      <c r="B337" s="35"/>
      <c r="C337" s="35"/>
      <c r="G337" s="38"/>
    </row>
    <row r="338">
      <c r="A338" s="19"/>
      <c r="B338" s="35"/>
      <c r="C338" s="35"/>
      <c r="G338" s="38"/>
    </row>
    <row r="339">
      <c r="A339" s="19"/>
      <c r="B339" s="35"/>
      <c r="C339" s="35"/>
      <c r="G339" s="38"/>
    </row>
    <row r="340">
      <c r="A340" s="19"/>
      <c r="B340" s="35"/>
      <c r="C340" s="35"/>
      <c r="G340" s="38"/>
    </row>
    <row r="341">
      <c r="A341" s="19"/>
      <c r="B341" s="35"/>
      <c r="C341" s="35"/>
      <c r="G341" s="38"/>
    </row>
    <row r="342">
      <c r="A342" s="19"/>
      <c r="B342" s="35"/>
      <c r="C342" s="35"/>
      <c r="G342" s="38"/>
    </row>
    <row r="343">
      <c r="A343" s="19"/>
      <c r="B343" s="35"/>
      <c r="C343" s="35"/>
      <c r="G343" s="38"/>
    </row>
    <row r="344">
      <c r="A344" s="19"/>
      <c r="B344" s="35"/>
      <c r="C344" s="35"/>
      <c r="G344" s="38"/>
    </row>
    <row r="345">
      <c r="A345" s="19"/>
      <c r="B345" s="35"/>
      <c r="C345" s="35"/>
      <c r="G345" s="38"/>
    </row>
    <row r="346">
      <c r="A346" s="19"/>
      <c r="B346" s="35"/>
      <c r="C346" s="35"/>
      <c r="G346" s="38"/>
    </row>
    <row r="347">
      <c r="A347" s="19"/>
      <c r="B347" s="35"/>
      <c r="C347" s="35"/>
      <c r="G347" s="38"/>
    </row>
    <row r="348">
      <c r="A348" s="19"/>
      <c r="B348" s="35"/>
      <c r="C348" s="35"/>
      <c r="G348" s="38"/>
    </row>
    <row r="349">
      <c r="A349" s="19"/>
      <c r="B349" s="35"/>
      <c r="C349" s="35"/>
      <c r="G349" s="38"/>
    </row>
    <row r="350">
      <c r="A350" s="19"/>
      <c r="B350" s="35"/>
      <c r="C350" s="35"/>
      <c r="G350" s="38"/>
    </row>
    <row r="351">
      <c r="A351" s="19"/>
      <c r="B351" s="35"/>
      <c r="C351" s="35"/>
      <c r="G351" s="38"/>
    </row>
    <row r="352">
      <c r="A352" s="19"/>
      <c r="B352" s="35"/>
      <c r="C352" s="35"/>
      <c r="G352" s="38"/>
    </row>
    <row r="353">
      <c r="A353" s="19"/>
      <c r="B353" s="35"/>
      <c r="C353" s="35"/>
      <c r="G353" s="38"/>
    </row>
    <row r="354">
      <c r="A354" s="19"/>
      <c r="B354" s="35"/>
      <c r="C354" s="35"/>
      <c r="G354" s="38"/>
    </row>
    <row r="355">
      <c r="A355" s="19"/>
      <c r="B355" s="35"/>
      <c r="C355" s="35"/>
      <c r="G355" s="38"/>
    </row>
    <row r="356">
      <c r="A356" s="19"/>
      <c r="B356" s="35"/>
      <c r="C356" s="35"/>
      <c r="G356" s="38"/>
    </row>
    <row r="357">
      <c r="A357" s="19"/>
      <c r="B357" s="35"/>
      <c r="C357" s="35"/>
      <c r="G357" s="38"/>
    </row>
    <row r="358">
      <c r="A358" s="19"/>
      <c r="B358" s="35"/>
      <c r="C358" s="35"/>
      <c r="G358" s="38"/>
    </row>
    <row r="359">
      <c r="A359" s="19"/>
      <c r="B359" s="35"/>
      <c r="C359" s="35"/>
      <c r="G359" s="38"/>
    </row>
    <row r="360">
      <c r="A360" s="19"/>
      <c r="B360" s="35"/>
      <c r="C360" s="35"/>
      <c r="G360" s="38"/>
    </row>
    <row r="361">
      <c r="A361" s="19"/>
      <c r="B361" s="35"/>
      <c r="C361" s="35"/>
      <c r="G361" s="38"/>
    </row>
    <row r="362">
      <c r="A362" s="19"/>
      <c r="B362" s="35"/>
      <c r="C362" s="35"/>
      <c r="G362" s="38"/>
    </row>
    <row r="363">
      <c r="A363" s="19"/>
      <c r="B363" s="35"/>
      <c r="C363" s="35"/>
      <c r="G363" s="38"/>
    </row>
    <row r="364">
      <c r="A364" s="19"/>
      <c r="B364" s="35"/>
      <c r="C364" s="35"/>
      <c r="G364" s="38"/>
    </row>
    <row r="365">
      <c r="A365" s="19"/>
      <c r="B365" s="35"/>
      <c r="C365" s="35"/>
      <c r="G365" s="38"/>
    </row>
    <row r="366">
      <c r="A366" s="19"/>
      <c r="B366" s="35"/>
      <c r="C366" s="35"/>
      <c r="G366" s="38"/>
    </row>
    <row r="367">
      <c r="A367" s="19"/>
      <c r="B367" s="35"/>
      <c r="C367" s="35"/>
      <c r="G367" s="38"/>
    </row>
    <row r="368">
      <c r="A368" s="19"/>
      <c r="B368" s="35"/>
      <c r="C368" s="35"/>
      <c r="G368" s="38"/>
    </row>
    <row r="369">
      <c r="A369" s="19"/>
      <c r="B369" s="35"/>
      <c r="C369" s="35"/>
      <c r="G369" s="38"/>
    </row>
    <row r="370">
      <c r="A370" s="19"/>
      <c r="B370" s="35"/>
      <c r="C370" s="35"/>
      <c r="G370" s="38"/>
    </row>
    <row r="371">
      <c r="A371" s="19"/>
      <c r="B371" s="35"/>
      <c r="C371" s="35"/>
      <c r="G371" s="38"/>
    </row>
    <row r="372">
      <c r="A372" s="19"/>
      <c r="B372" s="35"/>
      <c r="C372" s="35"/>
      <c r="G372" s="38"/>
    </row>
    <row r="373">
      <c r="A373" s="19"/>
      <c r="B373" s="35"/>
      <c r="C373" s="35"/>
      <c r="G373" s="38"/>
    </row>
    <row r="374">
      <c r="A374" s="19"/>
      <c r="B374" s="35"/>
      <c r="C374" s="35"/>
      <c r="G374" s="38"/>
    </row>
    <row r="375">
      <c r="A375" s="19"/>
      <c r="B375" s="35"/>
      <c r="C375" s="35"/>
      <c r="G375" s="38"/>
    </row>
    <row r="376">
      <c r="A376" s="19"/>
      <c r="B376" s="35"/>
      <c r="C376" s="35"/>
      <c r="G376" s="38"/>
    </row>
    <row r="377">
      <c r="A377" s="19"/>
      <c r="B377" s="35"/>
      <c r="C377" s="35"/>
      <c r="G377" s="38"/>
    </row>
    <row r="378">
      <c r="A378" s="19"/>
      <c r="B378" s="35"/>
      <c r="C378" s="35"/>
      <c r="G378" s="38"/>
    </row>
    <row r="379">
      <c r="A379" s="19"/>
      <c r="B379" s="35"/>
      <c r="C379" s="35"/>
      <c r="G379" s="38"/>
    </row>
    <row r="380">
      <c r="A380" s="19"/>
      <c r="B380" s="35"/>
      <c r="C380" s="35"/>
      <c r="G380" s="38"/>
    </row>
    <row r="381">
      <c r="A381" s="19"/>
      <c r="B381" s="35"/>
      <c r="C381" s="35"/>
      <c r="G381" s="38"/>
    </row>
    <row r="382">
      <c r="A382" s="19"/>
      <c r="B382" s="35"/>
      <c r="C382" s="35"/>
      <c r="G382" s="38"/>
    </row>
    <row r="383">
      <c r="A383" s="19"/>
      <c r="B383" s="35"/>
      <c r="C383" s="35"/>
      <c r="G383" s="38"/>
    </row>
    <row r="384">
      <c r="A384" s="19"/>
      <c r="B384" s="35"/>
      <c r="C384" s="35"/>
      <c r="G384" s="38"/>
    </row>
    <row r="385">
      <c r="A385" s="19"/>
      <c r="B385" s="35"/>
      <c r="C385" s="35"/>
      <c r="G385" s="38"/>
    </row>
    <row r="386">
      <c r="A386" s="19"/>
      <c r="B386" s="35"/>
      <c r="C386" s="35"/>
      <c r="G386" s="38"/>
    </row>
    <row r="387">
      <c r="A387" s="19"/>
      <c r="B387" s="35"/>
      <c r="C387" s="35"/>
      <c r="G387" s="38"/>
    </row>
    <row r="388">
      <c r="A388" s="19"/>
      <c r="B388" s="35"/>
      <c r="C388" s="35"/>
      <c r="G388" s="38"/>
    </row>
    <row r="389">
      <c r="A389" s="19"/>
      <c r="B389" s="35"/>
      <c r="C389" s="35"/>
      <c r="G389" s="38"/>
    </row>
    <row r="390">
      <c r="A390" s="19"/>
      <c r="B390" s="35"/>
      <c r="C390" s="35"/>
      <c r="G390" s="38"/>
    </row>
    <row r="391">
      <c r="A391" s="19"/>
      <c r="B391" s="35"/>
      <c r="C391" s="35"/>
      <c r="G391" s="38"/>
    </row>
    <row r="392">
      <c r="A392" s="19"/>
      <c r="B392" s="35"/>
      <c r="C392" s="35"/>
      <c r="G392" s="38"/>
    </row>
    <row r="393">
      <c r="A393" s="19"/>
      <c r="B393" s="35"/>
      <c r="C393" s="35"/>
      <c r="G393" s="38"/>
    </row>
    <row r="394">
      <c r="A394" s="19"/>
      <c r="B394" s="35"/>
      <c r="C394" s="35"/>
      <c r="G394" s="38"/>
    </row>
    <row r="395">
      <c r="A395" s="19"/>
      <c r="B395" s="35"/>
      <c r="C395" s="35"/>
      <c r="G395" s="38"/>
    </row>
    <row r="396">
      <c r="A396" s="19"/>
      <c r="B396" s="35"/>
      <c r="C396" s="35"/>
      <c r="G396" s="38"/>
    </row>
    <row r="397">
      <c r="A397" s="19"/>
      <c r="B397" s="35"/>
      <c r="C397" s="35"/>
      <c r="G397" s="38"/>
    </row>
    <row r="398">
      <c r="A398" s="19"/>
      <c r="B398" s="35"/>
      <c r="C398" s="35"/>
      <c r="G398" s="38"/>
    </row>
    <row r="399">
      <c r="A399" s="19"/>
      <c r="B399" s="35"/>
      <c r="C399" s="35"/>
      <c r="G399" s="38"/>
    </row>
    <row r="400">
      <c r="A400" s="19"/>
      <c r="B400" s="35"/>
      <c r="C400" s="35"/>
      <c r="G400" s="38"/>
    </row>
    <row r="401">
      <c r="A401" s="19"/>
      <c r="B401" s="35"/>
      <c r="C401" s="35"/>
      <c r="G401" s="38"/>
    </row>
    <row r="402">
      <c r="A402" s="19"/>
      <c r="B402" s="35"/>
      <c r="C402" s="35"/>
      <c r="G402" s="38"/>
    </row>
    <row r="403">
      <c r="A403" s="19"/>
      <c r="B403" s="35"/>
      <c r="C403" s="35"/>
      <c r="G403" s="38"/>
    </row>
    <row r="404">
      <c r="A404" s="19"/>
      <c r="B404" s="35"/>
      <c r="C404" s="35"/>
      <c r="G404" s="38"/>
    </row>
    <row r="405">
      <c r="A405" s="19"/>
      <c r="B405" s="35"/>
      <c r="C405" s="35"/>
      <c r="G405" s="38"/>
    </row>
    <row r="406">
      <c r="A406" s="19"/>
      <c r="B406" s="35"/>
      <c r="C406" s="35"/>
      <c r="G406" s="38"/>
    </row>
    <row r="407">
      <c r="A407" s="19"/>
      <c r="B407" s="35"/>
      <c r="C407" s="35"/>
      <c r="G407" s="38"/>
    </row>
    <row r="408">
      <c r="A408" s="19"/>
      <c r="B408" s="35"/>
      <c r="C408" s="35"/>
      <c r="G408" s="38"/>
    </row>
    <row r="409">
      <c r="A409" s="19"/>
      <c r="B409" s="35"/>
      <c r="C409" s="35"/>
      <c r="G409" s="38"/>
    </row>
    <row r="410">
      <c r="A410" s="19"/>
      <c r="B410" s="35"/>
      <c r="C410" s="35"/>
      <c r="G410" s="38"/>
    </row>
    <row r="411">
      <c r="A411" s="19"/>
      <c r="B411" s="35"/>
      <c r="C411" s="35"/>
      <c r="G411" s="38"/>
    </row>
    <row r="412">
      <c r="A412" s="19"/>
      <c r="B412" s="35"/>
      <c r="C412" s="35"/>
      <c r="G412" s="38"/>
    </row>
    <row r="413">
      <c r="A413" s="19"/>
      <c r="B413" s="35"/>
      <c r="C413" s="35"/>
      <c r="G413" s="38"/>
    </row>
    <row r="414">
      <c r="A414" s="19"/>
      <c r="B414" s="35"/>
      <c r="C414" s="35"/>
      <c r="G414" s="38"/>
    </row>
    <row r="415">
      <c r="A415" s="19"/>
      <c r="B415" s="35"/>
      <c r="C415" s="35"/>
      <c r="G415" s="38"/>
    </row>
    <row r="416">
      <c r="A416" s="19"/>
      <c r="B416" s="35"/>
      <c r="C416" s="35"/>
      <c r="G416" s="38"/>
    </row>
    <row r="417">
      <c r="A417" s="19"/>
      <c r="B417" s="35"/>
      <c r="C417" s="35"/>
      <c r="G417" s="38"/>
    </row>
    <row r="418">
      <c r="A418" s="19"/>
      <c r="B418" s="35"/>
      <c r="C418" s="35"/>
      <c r="G418" s="38"/>
    </row>
    <row r="419">
      <c r="A419" s="19"/>
      <c r="B419" s="35"/>
      <c r="C419" s="35"/>
      <c r="G419" s="38"/>
    </row>
    <row r="420">
      <c r="A420" s="19"/>
      <c r="B420" s="35"/>
      <c r="C420" s="35"/>
      <c r="G420" s="38"/>
    </row>
    <row r="421">
      <c r="A421" s="19"/>
      <c r="B421" s="35"/>
      <c r="C421" s="35"/>
      <c r="G421" s="38"/>
    </row>
    <row r="422">
      <c r="A422" s="19"/>
      <c r="B422" s="35"/>
      <c r="C422" s="35"/>
      <c r="G422" s="38"/>
    </row>
    <row r="423">
      <c r="A423" s="19"/>
      <c r="B423" s="35"/>
      <c r="C423" s="35"/>
      <c r="G423" s="38"/>
    </row>
    <row r="424">
      <c r="A424" s="19"/>
      <c r="B424" s="35"/>
      <c r="C424" s="35"/>
      <c r="G424" s="38"/>
    </row>
    <row r="425">
      <c r="A425" s="19"/>
      <c r="B425" s="35"/>
      <c r="C425" s="35"/>
      <c r="G425" s="38"/>
    </row>
    <row r="426">
      <c r="A426" s="19"/>
      <c r="B426" s="35"/>
      <c r="C426" s="35"/>
      <c r="G426" s="38"/>
    </row>
    <row r="427">
      <c r="A427" s="19"/>
      <c r="B427" s="35"/>
      <c r="C427" s="35"/>
      <c r="G427" s="38"/>
    </row>
    <row r="428">
      <c r="A428" s="19"/>
      <c r="B428" s="35"/>
      <c r="C428" s="35"/>
      <c r="G428" s="38"/>
    </row>
    <row r="429">
      <c r="A429" s="19"/>
      <c r="B429" s="35"/>
      <c r="C429" s="35"/>
      <c r="G429" s="38"/>
    </row>
    <row r="430">
      <c r="A430" s="19"/>
      <c r="B430" s="35"/>
      <c r="C430" s="35"/>
      <c r="G430" s="38"/>
    </row>
    <row r="431">
      <c r="A431" s="19"/>
      <c r="B431" s="35"/>
      <c r="C431" s="35"/>
      <c r="G431" s="38"/>
    </row>
    <row r="432">
      <c r="A432" s="19"/>
      <c r="B432" s="35"/>
      <c r="C432" s="35"/>
      <c r="G432" s="38"/>
    </row>
    <row r="433">
      <c r="A433" s="19"/>
      <c r="B433" s="35"/>
      <c r="C433" s="35"/>
      <c r="G433" s="38"/>
    </row>
    <row r="434">
      <c r="A434" s="19"/>
      <c r="B434" s="35"/>
      <c r="C434" s="35"/>
      <c r="G434" s="38"/>
    </row>
    <row r="435">
      <c r="A435" s="19"/>
      <c r="B435" s="35"/>
      <c r="C435" s="35"/>
      <c r="G435" s="38"/>
    </row>
    <row r="436">
      <c r="A436" s="19"/>
      <c r="B436" s="35"/>
      <c r="C436" s="35"/>
      <c r="G436" s="38"/>
    </row>
    <row r="437">
      <c r="A437" s="19"/>
      <c r="B437" s="35"/>
      <c r="C437" s="35"/>
      <c r="G437" s="38"/>
    </row>
    <row r="438">
      <c r="A438" s="19"/>
      <c r="B438" s="35"/>
      <c r="C438" s="35"/>
      <c r="G438" s="38"/>
    </row>
    <row r="439">
      <c r="A439" s="19"/>
      <c r="B439" s="35"/>
      <c r="C439" s="35"/>
      <c r="G439" s="38"/>
    </row>
    <row r="440">
      <c r="A440" s="19"/>
      <c r="B440" s="35"/>
      <c r="C440" s="35"/>
      <c r="G440" s="38"/>
    </row>
    <row r="441">
      <c r="A441" s="19"/>
      <c r="B441" s="35"/>
      <c r="C441" s="35"/>
      <c r="G441" s="38"/>
    </row>
    <row r="442">
      <c r="A442" s="19"/>
      <c r="B442" s="35"/>
      <c r="C442" s="35"/>
      <c r="G442" s="38"/>
    </row>
    <row r="443">
      <c r="A443" s="19"/>
      <c r="B443" s="35"/>
      <c r="C443" s="35"/>
      <c r="G443" s="38"/>
    </row>
    <row r="444">
      <c r="A444" s="19"/>
      <c r="B444" s="35"/>
      <c r="C444" s="35"/>
      <c r="G444" s="38"/>
    </row>
    <row r="445">
      <c r="A445" s="19"/>
      <c r="B445" s="35"/>
      <c r="C445" s="35"/>
      <c r="G445" s="38"/>
    </row>
    <row r="446">
      <c r="A446" s="19"/>
      <c r="B446" s="35"/>
      <c r="C446" s="35"/>
      <c r="G446" s="38"/>
    </row>
    <row r="447">
      <c r="A447" s="19"/>
      <c r="B447" s="35"/>
      <c r="C447" s="35"/>
      <c r="G447" s="38"/>
    </row>
    <row r="448">
      <c r="A448" s="19"/>
      <c r="B448" s="35"/>
      <c r="C448" s="35"/>
      <c r="G448" s="38"/>
    </row>
    <row r="449">
      <c r="A449" s="19"/>
      <c r="B449" s="35"/>
      <c r="C449" s="35"/>
      <c r="G449" s="38"/>
    </row>
    <row r="450">
      <c r="A450" s="19"/>
      <c r="B450" s="35"/>
      <c r="C450" s="35"/>
      <c r="G450" s="38"/>
    </row>
    <row r="451">
      <c r="A451" s="19"/>
      <c r="B451" s="35"/>
      <c r="C451" s="35"/>
      <c r="G451" s="38"/>
    </row>
    <row r="452">
      <c r="A452" s="19"/>
      <c r="B452" s="35"/>
      <c r="C452" s="35"/>
      <c r="G452" s="38"/>
    </row>
    <row r="453">
      <c r="A453" s="19"/>
      <c r="B453" s="35"/>
      <c r="C453" s="35"/>
      <c r="G453" s="38"/>
    </row>
    <row r="454">
      <c r="A454" s="19"/>
      <c r="B454" s="35"/>
      <c r="C454" s="35"/>
      <c r="G454" s="38"/>
    </row>
    <row r="455">
      <c r="A455" s="19"/>
      <c r="B455" s="35"/>
      <c r="C455" s="35"/>
      <c r="G455" s="38"/>
    </row>
    <row r="456">
      <c r="A456" s="19"/>
      <c r="B456" s="35"/>
      <c r="C456" s="35"/>
      <c r="G456" s="38"/>
    </row>
    <row r="457">
      <c r="A457" s="19"/>
      <c r="B457" s="35"/>
      <c r="C457" s="35"/>
      <c r="G457" s="38"/>
    </row>
    <row r="458">
      <c r="A458" s="19"/>
      <c r="B458" s="35"/>
      <c r="C458" s="35"/>
      <c r="G458" s="38"/>
    </row>
    <row r="459">
      <c r="A459" s="19"/>
      <c r="B459" s="35"/>
      <c r="C459" s="35"/>
      <c r="G459" s="38"/>
    </row>
    <row r="460">
      <c r="A460" s="19"/>
      <c r="B460" s="35"/>
      <c r="C460" s="35"/>
      <c r="G460" s="38"/>
    </row>
    <row r="461">
      <c r="A461" s="19"/>
      <c r="B461" s="35"/>
      <c r="C461" s="35"/>
      <c r="G461" s="38"/>
    </row>
    <row r="462">
      <c r="A462" s="19"/>
      <c r="B462" s="35"/>
      <c r="C462" s="35"/>
      <c r="G462" s="38"/>
    </row>
    <row r="463">
      <c r="A463" s="19"/>
      <c r="B463" s="35"/>
      <c r="C463" s="35"/>
      <c r="G463" s="38"/>
    </row>
    <row r="464">
      <c r="A464" s="19"/>
      <c r="B464" s="35"/>
      <c r="C464" s="35"/>
      <c r="G464" s="38"/>
    </row>
    <row r="465">
      <c r="A465" s="19"/>
      <c r="B465" s="35"/>
      <c r="C465" s="35"/>
      <c r="G465" s="38"/>
    </row>
    <row r="466">
      <c r="A466" s="19"/>
      <c r="B466" s="35"/>
      <c r="C466" s="35"/>
      <c r="G466" s="38"/>
    </row>
    <row r="467">
      <c r="A467" s="19"/>
      <c r="B467" s="35"/>
      <c r="C467" s="35"/>
      <c r="G467" s="38"/>
    </row>
    <row r="468">
      <c r="A468" s="19"/>
      <c r="B468" s="35"/>
      <c r="C468" s="35"/>
      <c r="G468" s="38"/>
    </row>
    <row r="469">
      <c r="A469" s="19"/>
      <c r="B469" s="35"/>
      <c r="C469" s="35"/>
      <c r="G469" s="38"/>
    </row>
    <row r="470">
      <c r="A470" s="19"/>
      <c r="B470" s="35"/>
      <c r="C470" s="35"/>
      <c r="G470" s="38"/>
    </row>
    <row r="471">
      <c r="A471" s="19"/>
      <c r="B471" s="35"/>
      <c r="C471" s="35"/>
      <c r="G471" s="38"/>
    </row>
    <row r="472">
      <c r="A472" s="19"/>
      <c r="B472" s="35"/>
      <c r="C472" s="35"/>
      <c r="G472" s="38"/>
    </row>
    <row r="473">
      <c r="A473" s="19"/>
      <c r="B473" s="35"/>
      <c r="C473" s="35"/>
      <c r="G473" s="38"/>
    </row>
    <row r="474">
      <c r="A474" s="19"/>
      <c r="B474" s="35"/>
      <c r="C474" s="35"/>
      <c r="G474" s="38"/>
    </row>
    <row r="475">
      <c r="A475" s="19"/>
      <c r="B475" s="35"/>
      <c r="C475" s="35"/>
      <c r="G475" s="38"/>
    </row>
    <row r="476">
      <c r="A476" s="19"/>
      <c r="B476" s="35"/>
      <c r="C476" s="35"/>
      <c r="G476" s="38"/>
    </row>
    <row r="477">
      <c r="A477" s="19"/>
      <c r="B477" s="35"/>
      <c r="C477" s="35"/>
      <c r="G477" s="38"/>
    </row>
    <row r="478">
      <c r="A478" s="19"/>
      <c r="B478" s="35"/>
      <c r="C478" s="35"/>
      <c r="G478" s="38"/>
    </row>
    <row r="479">
      <c r="A479" s="19"/>
      <c r="B479" s="35"/>
      <c r="C479" s="35"/>
      <c r="G479" s="38"/>
    </row>
    <row r="480">
      <c r="A480" s="19"/>
      <c r="B480" s="35"/>
      <c r="C480" s="35"/>
      <c r="G480" s="38"/>
    </row>
    <row r="481">
      <c r="A481" s="19"/>
      <c r="B481" s="35"/>
      <c r="C481" s="35"/>
      <c r="G481" s="38"/>
    </row>
    <row r="482">
      <c r="A482" s="19"/>
      <c r="B482" s="35"/>
      <c r="C482" s="35"/>
      <c r="G482" s="38"/>
    </row>
    <row r="483">
      <c r="A483" s="19"/>
      <c r="B483" s="35"/>
      <c r="C483" s="35"/>
      <c r="G483" s="38"/>
    </row>
    <row r="484">
      <c r="A484" s="19"/>
      <c r="B484" s="35"/>
      <c r="C484" s="35"/>
      <c r="G484" s="38"/>
    </row>
    <row r="485">
      <c r="A485" s="19"/>
      <c r="B485" s="35"/>
      <c r="C485" s="35"/>
      <c r="G485" s="38"/>
    </row>
    <row r="486">
      <c r="A486" s="19"/>
      <c r="B486" s="35"/>
      <c r="C486" s="35"/>
      <c r="G486" s="38"/>
    </row>
    <row r="487">
      <c r="A487" s="19"/>
      <c r="B487" s="35"/>
      <c r="C487" s="35"/>
      <c r="G487" s="38"/>
    </row>
    <row r="488">
      <c r="A488" s="19"/>
      <c r="B488" s="35"/>
      <c r="C488" s="35"/>
      <c r="G488" s="38"/>
    </row>
    <row r="489">
      <c r="A489" s="19"/>
      <c r="B489" s="35"/>
      <c r="C489" s="35"/>
      <c r="G489" s="38"/>
    </row>
    <row r="490">
      <c r="A490" s="19"/>
      <c r="B490" s="35"/>
      <c r="C490" s="35"/>
      <c r="G490" s="38"/>
    </row>
    <row r="491">
      <c r="A491" s="19"/>
      <c r="B491" s="35"/>
      <c r="C491" s="35"/>
      <c r="G491" s="38"/>
    </row>
    <row r="492">
      <c r="A492" s="19"/>
      <c r="B492" s="35"/>
      <c r="C492" s="35"/>
      <c r="G492" s="38"/>
    </row>
    <row r="493">
      <c r="A493" s="19"/>
      <c r="B493" s="35"/>
      <c r="C493" s="35"/>
      <c r="G493" s="38"/>
    </row>
    <row r="494">
      <c r="A494" s="19"/>
      <c r="B494" s="35"/>
      <c r="C494" s="35"/>
      <c r="G494" s="38"/>
    </row>
    <row r="495">
      <c r="A495" s="19"/>
      <c r="B495" s="35"/>
      <c r="C495" s="35"/>
      <c r="G495" s="38"/>
    </row>
    <row r="496">
      <c r="A496" s="19"/>
      <c r="B496" s="35"/>
      <c r="C496" s="35"/>
      <c r="G496" s="38"/>
    </row>
    <row r="497">
      <c r="A497" s="19"/>
      <c r="B497" s="35"/>
      <c r="C497" s="35"/>
      <c r="G497" s="38"/>
    </row>
    <row r="498">
      <c r="A498" s="19"/>
      <c r="B498" s="35"/>
      <c r="C498" s="35"/>
      <c r="G498" s="38"/>
    </row>
    <row r="499">
      <c r="A499" s="19"/>
      <c r="B499" s="35"/>
      <c r="C499" s="35"/>
      <c r="G499" s="38"/>
    </row>
    <row r="500">
      <c r="A500" s="19"/>
      <c r="B500" s="35"/>
      <c r="C500" s="35"/>
      <c r="G500" s="38"/>
    </row>
    <row r="501">
      <c r="A501" s="19"/>
      <c r="B501" s="35"/>
      <c r="C501" s="35"/>
      <c r="G501" s="38"/>
    </row>
    <row r="502">
      <c r="A502" s="19"/>
      <c r="B502" s="35"/>
      <c r="C502" s="35"/>
      <c r="G502" s="38"/>
    </row>
    <row r="503">
      <c r="A503" s="19"/>
      <c r="B503" s="35"/>
      <c r="C503" s="35"/>
      <c r="G503" s="38"/>
    </row>
    <row r="504">
      <c r="A504" s="19"/>
      <c r="B504" s="35"/>
      <c r="C504" s="35"/>
      <c r="G504" s="38"/>
    </row>
    <row r="505">
      <c r="A505" s="19"/>
      <c r="B505" s="35"/>
      <c r="C505" s="35"/>
      <c r="G505" s="38"/>
    </row>
    <row r="506">
      <c r="A506" s="19"/>
      <c r="B506" s="35"/>
      <c r="C506" s="35"/>
      <c r="G506" s="38"/>
    </row>
    <row r="507">
      <c r="A507" s="19"/>
      <c r="B507" s="35"/>
      <c r="C507" s="35"/>
      <c r="G507" s="38"/>
    </row>
    <row r="508">
      <c r="A508" s="19"/>
      <c r="B508" s="35"/>
      <c r="C508" s="35"/>
      <c r="G508" s="38"/>
    </row>
    <row r="509">
      <c r="A509" s="19"/>
      <c r="B509" s="35"/>
      <c r="C509" s="35"/>
      <c r="G509" s="38"/>
    </row>
    <row r="510">
      <c r="A510" s="19"/>
      <c r="B510" s="35"/>
      <c r="C510" s="35"/>
      <c r="G510" s="38"/>
    </row>
    <row r="511">
      <c r="A511" s="19"/>
      <c r="B511" s="35"/>
      <c r="C511" s="35"/>
      <c r="G511" s="38"/>
    </row>
    <row r="512">
      <c r="A512" s="19"/>
      <c r="B512" s="35"/>
      <c r="C512" s="35"/>
      <c r="G512" s="38"/>
    </row>
    <row r="513">
      <c r="A513" s="19"/>
      <c r="B513" s="35"/>
      <c r="C513" s="35"/>
      <c r="G513" s="38"/>
    </row>
    <row r="514">
      <c r="A514" s="19"/>
      <c r="B514" s="35"/>
      <c r="C514" s="35"/>
      <c r="G514" s="38"/>
    </row>
    <row r="515">
      <c r="A515" s="19"/>
      <c r="B515" s="35"/>
      <c r="C515" s="35"/>
      <c r="G515" s="38"/>
    </row>
    <row r="516">
      <c r="A516" s="19"/>
      <c r="B516" s="35"/>
      <c r="C516" s="35"/>
      <c r="G516" s="38"/>
    </row>
    <row r="517">
      <c r="A517" s="19"/>
      <c r="B517" s="35"/>
      <c r="C517" s="35"/>
      <c r="G517" s="38"/>
    </row>
    <row r="518">
      <c r="A518" s="19"/>
      <c r="B518" s="35"/>
      <c r="C518" s="35"/>
      <c r="G518" s="38"/>
    </row>
    <row r="519">
      <c r="A519" s="19"/>
      <c r="B519" s="35"/>
      <c r="C519" s="35"/>
      <c r="G519" s="38"/>
    </row>
    <row r="520">
      <c r="A520" s="19"/>
      <c r="B520" s="35"/>
      <c r="C520" s="35"/>
      <c r="G520" s="38"/>
    </row>
    <row r="521">
      <c r="A521" s="19"/>
      <c r="B521" s="35"/>
      <c r="C521" s="35"/>
      <c r="G521" s="38"/>
    </row>
    <row r="522">
      <c r="A522" s="19"/>
      <c r="B522" s="35"/>
      <c r="C522" s="35"/>
      <c r="G522" s="38"/>
    </row>
    <row r="523">
      <c r="A523" s="19"/>
      <c r="B523" s="35"/>
      <c r="C523" s="35"/>
      <c r="G523" s="38"/>
    </row>
    <row r="524">
      <c r="A524" s="19"/>
      <c r="B524" s="35"/>
      <c r="C524" s="35"/>
      <c r="G524" s="38"/>
    </row>
    <row r="525">
      <c r="A525" s="19"/>
      <c r="B525" s="35"/>
      <c r="C525" s="35"/>
      <c r="G525" s="38"/>
    </row>
    <row r="526">
      <c r="A526" s="19"/>
      <c r="B526" s="35"/>
      <c r="C526" s="35"/>
      <c r="G526" s="38"/>
    </row>
    <row r="527">
      <c r="A527" s="19"/>
      <c r="B527" s="35"/>
      <c r="C527" s="35"/>
      <c r="G527" s="38"/>
    </row>
    <row r="528">
      <c r="A528" s="19"/>
      <c r="B528" s="35"/>
      <c r="C528" s="35"/>
      <c r="G528" s="38"/>
    </row>
    <row r="529">
      <c r="A529" s="19"/>
      <c r="B529" s="35"/>
      <c r="C529" s="35"/>
      <c r="G529" s="38"/>
    </row>
    <row r="530">
      <c r="A530" s="19"/>
      <c r="B530" s="35"/>
      <c r="C530" s="35"/>
      <c r="G530" s="38"/>
    </row>
    <row r="531">
      <c r="A531" s="19"/>
      <c r="B531" s="35"/>
      <c r="C531" s="35"/>
      <c r="G531" s="38"/>
    </row>
    <row r="532">
      <c r="A532" s="19"/>
      <c r="B532" s="35"/>
      <c r="C532" s="35"/>
      <c r="G532" s="38"/>
    </row>
    <row r="533">
      <c r="A533" s="19"/>
      <c r="B533" s="35"/>
      <c r="C533" s="35"/>
      <c r="G533" s="38"/>
    </row>
    <row r="534">
      <c r="A534" s="19"/>
      <c r="B534" s="35"/>
      <c r="C534" s="35"/>
      <c r="G534" s="38"/>
    </row>
    <row r="535">
      <c r="A535" s="19"/>
      <c r="B535" s="35"/>
      <c r="C535" s="35"/>
      <c r="G535" s="38"/>
    </row>
    <row r="536">
      <c r="A536" s="19"/>
      <c r="B536" s="35"/>
      <c r="C536" s="35"/>
      <c r="G536" s="38"/>
    </row>
    <row r="537">
      <c r="A537" s="19"/>
      <c r="B537" s="35"/>
      <c r="C537" s="35"/>
      <c r="G537" s="38"/>
    </row>
    <row r="538">
      <c r="A538" s="19"/>
      <c r="B538" s="35"/>
      <c r="C538" s="35"/>
      <c r="G538" s="38"/>
    </row>
    <row r="539">
      <c r="A539" s="19"/>
      <c r="B539" s="35"/>
      <c r="C539" s="35"/>
      <c r="G539" s="38"/>
    </row>
    <row r="540">
      <c r="A540" s="19"/>
      <c r="B540" s="35"/>
      <c r="C540" s="35"/>
      <c r="G540" s="38"/>
    </row>
    <row r="541">
      <c r="A541" s="19"/>
      <c r="B541" s="35"/>
      <c r="C541" s="35"/>
      <c r="G541" s="38"/>
    </row>
    <row r="542">
      <c r="A542" s="19"/>
      <c r="B542" s="35"/>
      <c r="C542" s="35"/>
      <c r="G542" s="38"/>
    </row>
    <row r="543">
      <c r="A543" s="19"/>
      <c r="B543" s="35"/>
      <c r="C543" s="35"/>
      <c r="G543" s="38"/>
    </row>
    <row r="544">
      <c r="A544" s="19"/>
      <c r="B544" s="35"/>
      <c r="C544" s="35"/>
      <c r="G544" s="38"/>
    </row>
    <row r="545">
      <c r="A545" s="19"/>
      <c r="B545" s="35"/>
      <c r="C545" s="35"/>
      <c r="G545" s="38"/>
    </row>
    <row r="546">
      <c r="A546" s="19"/>
      <c r="B546" s="35"/>
      <c r="C546" s="35"/>
      <c r="G546" s="38"/>
    </row>
    <row r="547">
      <c r="A547" s="19"/>
      <c r="B547" s="35"/>
      <c r="C547" s="35"/>
      <c r="G547" s="38"/>
    </row>
    <row r="548">
      <c r="A548" s="19"/>
      <c r="B548" s="35"/>
      <c r="C548" s="35"/>
      <c r="G548" s="38"/>
    </row>
    <row r="549">
      <c r="A549" s="19"/>
      <c r="B549" s="35"/>
      <c r="C549" s="35"/>
      <c r="G549" s="38"/>
    </row>
    <row r="550">
      <c r="A550" s="19"/>
      <c r="B550" s="35"/>
      <c r="C550" s="35"/>
      <c r="G550" s="38"/>
    </row>
    <row r="551">
      <c r="A551" s="19"/>
      <c r="B551" s="35"/>
      <c r="C551" s="35"/>
      <c r="G551" s="38"/>
    </row>
    <row r="552">
      <c r="A552" s="19"/>
      <c r="B552" s="35"/>
      <c r="C552" s="35"/>
      <c r="G552" s="38"/>
    </row>
    <row r="553">
      <c r="A553" s="19"/>
      <c r="B553" s="35"/>
      <c r="C553" s="35"/>
      <c r="G553" s="38"/>
    </row>
    <row r="554">
      <c r="A554" s="19"/>
      <c r="B554" s="35"/>
      <c r="C554" s="35"/>
      <c r="G554" s="38"/>
    </row>
    <row r="555">
      <c r="A555" s="19"/>
      <c r="B555" s="35"/>
      <c r="C555" s="35"/>
      <c r="G555" s="38"/>
    </row>
    <row r="556">
      <c r="A556" s="19"/>
      <c r="B556" s="35"/>
      <c r="C556" s="35"/>
      <c r="G556" s="38"/>
    </row>
    <row r="557">
      <c r="A557" s="19"/>
      <c r="B557" s="35"/>
      <c r="C557" s="35"/>
      <c r="G557" s="38"/>
    </row>
    <row r="558">
      <c r="A558" s="19"/>
      <c r="B558" s="35"/>
      <c r="C558" s="35"/>
      <c r="G558" s="38"/>
    </row>
    <row r="559">
      <c r="A559" s="19"/>
      <c r="B559" s="35"/>
      <c r="C559" s="35"/>
      <c r="G559" s="38"/>
    </row>
    <row r="560">
      <c r="A560" s="19"/>
      <c r="B560" s="35"/>
      <c r="C560" s="35"/>
      <c r="G560" s="38"/>
    </row>
    <row r="561">
      <c r="A561" s="19"/>
      <c r="B561" s="35"/>
      <c r="C561" s="35"/>
      <c r="G561" s="38"/>
    </row>
    <row r="562">
      <c r="A562" s="19"/>
      <c r="B562" s="35"/>
      <c r="C562" s="35"/>
      <c r="G562" s="38"/>
    </row>
    <row r="563">
      <c r="A563" s="19"/>
      <c r="B563" s="35"/>
      <c r="C563" s="35"/>
      <c r="G563" s="38"/>
    </row>
    <row r="564">
      <c r="A564" s="19"/>
      <c r="B564" s="35"/>
      <c r="C564" s="35"/>
      <c r="G564" s="38"/>
    </row>
    <row r="565">
      <c r="A565" s="19"/>
      <c r="B565" s="35"/>
      <c r="C565" s="35"/>
      <c r="G565" s="38"/>
    </row>
    <row r="566">
      <c r="A566" s="19"/>
      <c r="B566" s="35"/>
      <c r="C566" s="35"/>
      <c r="G566" s="38"/>
    </row>
    <row r="567">
      <c r="A567" s="19"/>
      <c r="B567" s="35"/>
      <c r="C567" s="35"/>
      <c r="G567" s="38"/>
    </row>
    <row r="568">
      <c r="A568" s="19"/>
      <c r="B568" s="35"/>
      <c r="C568" s="35"/>
      <c r="G568" s="38"/>
    </row>
    <row r="569">
      <c r="A569" s="19"/>
      <c r="B569" s="35"/>
      <c r="C569" s="35"/>
      <c r="G569" s="38"/>
    </row>
    <row r="570">
      <c r="A570" s="19"/>
      <c r="B570" s="35"/>
      <c r="C570" s="35"/>
      <c r="G570" s="38"/>
    </row>
    <row r="571">
      <c r="A571" s="19"/>
      <c r="B571" s="35"/>
      <c r="C571" s="35"/>
      <c r="G571" s="38"/>
    </row>
    <row r="572">
      <c r="A572" s="19"/>
      <c r="B572" s="35"/>
      <c r="C572" s="35"/>
      <c r="G572" s="38"/>
    </row>
    <row r="573">
      <c r="A573" s="19"/>
      <c r="B573" s="35"/>
      <c r="C573" s="35"/>
      <c r="G573" s="38"/>
    </row>
    <row r="574">
      <c r="A574" s="19"/>
      <c r="B574" s="35"/>
      <c r="C574" s="35"/>
      <c r="G574" s="38"/>
    </row>
    <row r="575">
      <c r="A575" s="19"/>
      <c r="B575" s="35"/>
      <c r="C575" s="35"/>
      <c r="G575" s="38"/>
    </row>
    <row r="576">
      <c r="A576" s="19"/>
      <c r="B576" s="35"/>
      <c r="C576" s="35"/>
      <c r="G576" s="38"/>
    </row>
    <row r="577">
      <c r="A577" s="19"/>
      <c r="B577" s="35"/>
      <c r="C577" s="35"/>
      <c r="G577" s="38"/>
    </row>
    <row r="578">
      <c r="A578" s="19"/>
      <c r="B578" s="35"/>
      <c r="C578" s="35"/>
      <c r="G578" s="38"/>
    </row>
    <row r="579">
      <c r="A579" s="19"/>
      <c r="B579" s="35"/>
      <c r="C579" s="35"/>
      <c r="G579" s="38"/>
    </row>
    <row r="580">
      <c r="A580" s="19"/>
      <c r="B580" s="35"/>
      <c r="C580" s="35"/>
      <c r="G580" s="38"/>
    </row>
    <row r="581">
      <c r="A581" s="19"/>
      <c r="B581" s="35"/>
      <c r="C581" s="35"/>
      <c r="G581" s="38"/>
    </row>
    <row r="582">
      <c r="A582" s="19"/>
      <c r="B582" s="35"/>
      <c r="C582" s="35"/>
      <c r="G582" s="38"/>
    </row>
    <row r="583">
      <c r="A583" s="19"/>
      <c r="B583" s="35"/>
      <c r="C583" s="35"/>
      <c r="G583" s="38"/>
    </row>
    <row r="584">
      <c r="A584" s="19"/>
      <c r="B584" s="35"/>
      <c r="C584" s="35"/>
      <c r="G584" s="38"/>
    </row>
    <row r="585">
      <c r="A585" s="19"/>
      <c r="B585" s="35"/>
      <c r="C585" s="35"/>
      <c r="G585" s="38"/>
    </row>
    <row r="586">
      <c r="A586" s="19"/>
      <c r="B586" s="35"/>
      <c r="C586" s="35"/>
      <c r="G586" s="38"/>
    </row>
    <row r="587">
      <c r="A587" s="19"/>
      <c r="B587" s="35"/>
      <c r="C587" s="35"/>
      <c r="G587" s="38"/>
    </row>
    <row r="588">
      <c r="A588" s="19"/>
      <c r="B588" s="35"/>
      <c r="C588" s="35"/>
      <c r="G588" s="38"/>
    </row>
    <row r="589">
      <c r="A589" s="19"/>
      <c r="B589" s="35"/>
      <c r="C589" s="35"/>
      <c r="G589" s="38"/>
    </row>
    <row r="590">
      <c r="A590" s="19"/>
      <c r="B590" s="35"/>
      <c r="C590" s="35"/>
      <c r="G590" s="38"/>
    </row>
    <row r="591">
      <c r="A591" s="19"/>
      <c r="B591" s="35"/>
      <c r="C591" s="35"/>
      <c r="G591" s="38"/>
    </row>
    <row r="592">
      <c r="A592" s="19"/>
      <c r="B592" s="35"/>
      <c r="C592" s="35"/>
      <c r="G592" s="38"/>
    </row>
    <row r="593">
      <c r="A593" s="19"/>
      <c r="B593" s="35"/>
      <c r="C593" s="35"/>
      <c r="G593" s="38"/>
    </row>
    <row r="594">
      <c r="A594" s="19"/>
      <c r="B594" s="35"/>
      <c r="C594" s="35"/>
      <c r="G594" s="38"/>
    </row>
    <row r="595">
      <c r="A595" s="19"/>
      <c r="B595" s="35"/>
      <c r="C595" s="35"/>
      <c r="G595" s="38"/>
    </row>
    <row r="596">
      <c r="A596" s="19"/>
      <c r="B596" s="35"/>
      <c r="C596" s="35"/>
      <c r="G596" s="38"/>
    </row>
    <row r="597">
      <c r="A597" s="19"/>
      <c r="B597" s="35"/>
      <c r="C597" s="35"/>
      <c r="G597" s="38"/>
    </row>
    <row r="598">
      <c r="A598" s="19"/>
      <c r="B598" s="35"/>
      <c r="C598" s="35"/>
      <c r="G598" s="38"/>
    </row>
    <row r="599">
      <c r="A599" s="19"/>
      <c r="B599" s="35"/>
      <c r="C599" s="35"/>
      <c r="G599" s="38"/>
    </row>
    <row r="600">
      <c r="A600" s="19"/>
      <c r="B600" s="35"/>
      <c r="C600" s="35"/>
      <c r="G600" s="38"/>
    </row>
    <row r="601">
      <c r="A601" s="19"/>
      <c r="B601" s="35"/>
      <c r="C601" s="35"/>
      <c r="G601" s="38"/>
    </row>
    <row r="602">
      <c r="A602" s="19"/>
      <c r="B602" s="35"/>
      <c r="C602" s="35"/>
      <c r="G602" s="38"/>
    </row>
    <row r="603">
      <c r="A603" s="19"/>
      <c r="B603" s="35"/>
      <c r="C603" s="35"/>
      <c r="G603" s="38"/>
    </row>
    <row r="604">
      <c r="A604" s="19"/>
      <c r="B604" s="35"/>
      <c r="C604" s="35"/>
      <c r="G604" s="38"/>
    </row>
    <row r="605">
      <c r="A605" s="19"/>
      <c r="B605" s="35"/>
      <c r="C605" s="35"/>
      <c r="G605" s="38"/>
    </row>
    <row r="606">
      <c r="A606" s="19"/>
      <c r="B606" s="35"/>
      <c r="C606" s="35"/>
      <c r="G606" s="38"/>
    </row>
    <row r="607">
      <c r="A607" s="19"/>
      <c r="B607" s="35"/>
      <c r="C607" s="35"/>
      <c r="G607" s="38"/>
    </row>
    <row r="608">
      <c r="A608" s="19"/>
      <c r="B608" s="35"/>
      <c r="C608" s="35"/>
      <c r="G608" s="38"/>
    </row>
    <row r="609">
      <c r="A609" s="19"/>
      <c r="B609" s="35"/>
      <c r="C609" s="35"/>
      <c r="G609" s="38"/>
    </row>
    <row r="610">
      <c r="A610" s="19"/>
      <c r="B610" s="35"/>
      <c r="C610" s="35"/>
      <c r="G610" s="38"/>
    </row>
    <row r="611">
      <c r="A611" s="19"/>
      <c r="B611" s="35"/>
      <c r="C611" s="35"/>
      <c r="G611" s="38"/>
    </row>
    <row r="612">
      <c r="A612" s="19"/>
      <c r="B612" s="35"/>
      <c r="C612" s="35"/>
      <c r="G612" s="38"/>
    </row>
    <row r="613">
      <c r="A613" s="19"/>
      <c r="B613" s="35"/>
      <c r="C613" s="35"/>
      <c r="G613" s="38"/>
    </row>
    <row r="614">
      <c r="A614" s="19"/>
      <c r="B614" s="35"/>
      <c r="C614" s="35"/>
      <c r="G614" s="38"/>
    </row>
    <row r="615">
      <c r="A615" s="19"/>
      <c r="B615" s="35"/>
      <c r="C615" s="35"/>
      <c r="G615" s="38"/>
    </row>
    <row r="616">
      <c r="A616" s="19"/>
      <c r="B616" s="35"/>
      <c r="C616" s="35"/>
      <c r="G616" s="38"/>
    </row>
    <row r="617">
      <c r="A617" s="19"/>
      <c r="B617" s="35"/>
      <c r="C617" s="35"/>
      <c r="G617" s="38"/>
    </row>
    <row r="618">
      <c r="A618" s="19"/>
      <c r="B618" s="35"/>
      <c r="C618" s="35"/>
      <c r="G618" s="38"/>
    </row>
    <row r="619">
      <c r="A619" s="19"/>
      <c r="B619" s="35"/>
      <c r="C619" s="35"/>
      <c r="G619" s="38"/>
    </row>
    <row r="620">
      <c r="A620" s="19"/>
      <c r="B620" s="35"/>
      <c r="C620" s="35"/>
      <c r="G620" s="38"/>
    </row>
    <row r="621">
      <c r="A621" s="19"/>
      <c r="B621" s="35"/>
      <c r="C621" s="35"/>
      <c r="G621" s="38"/>
    </row>
    <row r="622">
      <c r="A622" s="19"/>
      <c r="B622" s="35"/>
      <c r="C622" s="35"/>
      <c r="G622" s="38"/>
    </row>
    <row r="623">
      <c r="A623" s="19"/>
      <c r="B623" s="35"/>
      <c r="C623" s="35"/>
      <c r="G623" s="38"/>
    </row>
    <row r="624">
      <c r="A624" s="19"/>
      <c r="B624" s="35"/>
      <c r="C624" s="35"/>
      <c r="G624" s="38"/>
    </row>
    <row r="625">
      <c r="A625" s="19"/>
      <c r="B625" s="35"/>
      <c r="C625" s="35"/>
      <c r="G625" s="38"/>
    </row>
    <row r="626">
      <c r="A626" s="19"/>
      <c r="B626" s="35"/>
      <c r="C626" s="35"/>
      <c r="G626" s="38"/>
    </row>
    <row r="627">
      <c r="A627" s="19"/>
      <c r="B627" s="35"/>
      <c r="C627" s="35"/>
      <c r="G627" s="38"/>
    </row>
    <row r="628">
      <c r="A628" s="19"/>
      <c r="B628" s="35"/>
      <c r="C628" s="35"/>
      <c r="G628" s="38"/>
    </row>
    <row r="629">
      <c r="A629" s="19"/>
      <c r="B629" s="35"/>
      <c r="C629" s="35"/>
      <c r="G629" s="38"/>
    </row>
    <row r="630">
      <c r="A630" s="19"/>
      <c r="B630" s="35"/>
      <c r="C630" s="35"/>
      <c r="G630" s="38"/>
    </row>
    <row r="631">
      <c r="A631" s="19"/>
      <c r="B631" s="35"/>
      <c r="C631" s="35"/>
      <c r="G631" s="38"/>
    </row>
    <row r="632">
      <c r="A632" s="19"/>
      <c r="B632" s="35"/>
      <c r="C632" s="35"/>
      <c r="G632" s="38"/>
    </row>
    <row r="633">
      <c r="A633" s="19"/>
      <c r="B633" s="35"/>
      <c r="C633" s="35"/>
      <c r="G633" s="38"/>
    </row>
    <row r="634">
      <c r="A634" s="19"/>
      <c r="B634" s="35"/>
      <c r="C634" s="35"/>
      <c r="G634" s="38"/>
    </row>
    <row r="635">
      <c r="A635" s="19"/>
      <c r="B635" s="35"/>
      <c r="C635" s="35"/>
      <c r="G635" s="38"/>
    </row>
    <row r="636">
      <c r="A636" s="19"/>
      <c r="B636" s="35"/>
      <c r="C636" s="35"/>
      <c r="G636" s="38"/>
    </row>
    <row r="637">
      <c r="A637" s="19"/>
      <c r="B637" s="35"/>
      <c r="C637" s="35"/>
      <c r="G637" s="38"/>
    </row>
    <row r="638">
      <c r="A638" s="19"/>
      <c r="B638" s="35"/>
      <c r="C638" s="35"/>
      <c r="G638" s="38"/>
    </row>
    <row r="639">
      <c r="A639" s="19"/>
      <c r="B639" s="35"/>
      <c r="C639" s="35"/>
      <c r="G639" s="38"/>
    </row>
    <row r="640">
      <c r="A640" s="19"/>
      <c r="B640" s="35"/>
      <c r="C640" s="35"/>
      <c r="G640" s="38"/>
    </row>
    <row r="641">
      <c r="A641" s="19"/>
      <c r="B641" s="35"/>
      <c r="C641" s="35"/>
      <c r="G641" s="38"/>
    </row>
    <row r="642">
      <c r="A642" s="19"/>
      <c r="B642" s="35"/>
      <c r="C642" s="35"/>
      <c r="G642" s="38"/>
    </row>
    <row r="643">
      <c r="A643" s="19"/>
      <c r="B643" s="35"/>
      <c r="C643" s="35"/>
      <c r="G643" s="38"/>
    </row>
    <row r="644">
      <c r="A644" s="19"/>
      <c r="B644" s="35"/>
      <c r="C644" s="35"/>
      <c r="G644" s="38"/>
    </row>
    <row r="645">
      <c r="A645" s="19"/>
      <c r="B645" s="35"/>
      <c r="C645" s="35"/>
      <c r="G645" s="38"/>
    </row>
    <row r="646">
      <c r="A646" s="19"/>
      <c r="B646" s="35"/>
      <c r="C646" s="35"/>
      <c r="G646" s="38"/>
    </row>
    <row r="647">
      <c r="A647" s="19"/>
      <c r="B647" s="35"/>
      <c r="C647" s="35"/>
      <c r="G647" s="38"/>
    </row>
    <row r="648">
      <c r="A648" s="19"/>
      <c r="B648" s="35"/>
      <c r="C648" s="35"/>
      <c r="G648" s="38"/>
    </row>
    <row r="649">
      <c r="A649" s="19"/>
      <c r="B649" s="35"/>
      <c r="C649" s="35"/>
      <c r="G649" s="38"/>
    </row>
    <row r="650">
      <c r="A650" s="19"/>
      <c r="B650" s="35"/>
      <c r="C650" s="35"/>
      <c r="G650" s="38"/>
    </row>
    <row r="651">
      <c r="A651" s="19"/>
      <c r="B651" s="35"/>
      <c r="C651" s="35"/>
      <c r="G651" s="38"/>
    </row>
    <row r="652">
      <c r="A652" s="19"/>
      <c r="B652" s="35"/>
      <c r="C652" s="35"/>
      <c r="G652" s="38"/>
    </row>
    <row r="653">
      <c r="A653" s="19"/>
      <c r="B653" s="35"/>
      <c r="C653" s="35"/>
      <c r="G653" s="38"/>
    </row>
    <row r="654">
      <c r="A654" s="19"/>
      <c r="B654" s="35"/>
      <c r="C654" s="35"/>
      <c r="G654" s="38"/>
    </row>
    <row r="655">
      <c r="A655" s="19"/>
      <c r="B655" s="35"/>
      <c r="C655" s="35"/>
      <c r="G655" s="38"/>
    </row>
    <row r="656">
      <c r="A656" s="19"/>
      <c r="B656" s="35"/>
      <c r="C656" s="35"/>
      <c r="G656" s="38"/>
    </row>
    <row r="657">
      <c r="A657" s="19"/>
      <c r="B657" s="35"/>
      <c r="C657" s="35"/>
      <c r="G657" s="38"/>
    </row>
    <row r="658">
      <c r="A658" s="19"/>
      <c r="B658" s="35"/>
      <c r="C658" s="35"/>
      <c r="G658" s="38"/>
    </row>
    <row r="659">
      <c r="A659" s="19"/>
      <c r="B659" s="35"/>
      <c r="C659" s="35"/>
      <c r="G659" s="38"/>
    </row>
    <row r="660">
      <c r="A660" s="19"/>
      <c r="B660" s="35"/>
      <c r="C660" s="35"/>
      <c r="G660" s="38"/>
    </row>
    <row r="661">
      <c r="A661" s="19"/>
      <c r="B661" s="35"/>
      <c r="C661" s="35"/>
      <c r="G661" s="38"/>
    </row>
    <row r="662">
      <c r="A662" s="19"/>
      <c r="B662" s="35"/>
      <c r="C662" s="35"/>
      <c r="G662" s="38"/>
    </row>
    <row r="663">
      <c r="A663" s="19"/>
      <c r="B663" s="35"/>
      <c r="C663" s="35"/>
      <c r="G663" s="38"/>
    </row>
    <row r="664">
      <c r="A664" s="19"/>
      <c r="B664" s="35"/>
      <c r="C664" s="35"/>
      <c r="G664" s="38"/>
    </row>
    <row r="665">
      <c r="A665" s="19"/>
      <c r="B665" s="35"/>
      <c r="C665" s="35"/>
      <c r="G665" s="38"/>
    </row>
    <row r="666">
      <c r="A666" s="19"/>
      <c r="B666" s="35"/>
      <c r="C666" s="35"/>
      <c r="G666" s="38"/>
    </row>
    <row r="667">
      <c r="A667" s="19"/>
      <c r="B667" s="35"/>
      <c r="C667" s="35"/>
      <c r="G667" s="38"/>
    </row>
    <row r="668">
      <c r="A668" s="19"/>
      <c r="B668" s="35"/>
      <c r="C668" s="35"/>
      <c r="G668" s="38"/>
    </row>
    <row r="669">
      <c r="A669" s="19"/>
      <c r="B669" s="35"/>
      <c r="C669" s="35"/>
      <c r="G669" s="38"/>
    </row>
    <row r="670">
      <c r="A670" s="19"/>
      <c r="B670" s="35"/>
      <c r="C670" s="35"/>
      <c r="G670" s="38"/>
    </row>
    <row r="671">
      <c r="A671" s="19"/>
      <c r="B671" s="35"/>
      <c r="C671" s="35"/>
      <c r="G671" s="38"/>
    </row>
    <row r="672">
      <c r="A672" s="19"/>
      <c r="B672" s="35"/>
      <c r="C672" s="35"/>
      <c r="G672" s="38"/>
    </row>
    <row r="673">
      <c r="A673" s="19"/>
      <c r="B673" s="35"/>
      <c r="C673" s="35"/>
      <c r="G673" s="38"/>
    </row>
    <row r="674">
      <c r="A674" s="19"/>
      <c r="B674" s="35"/>
      <c r="C674" s="35"/>
      <c r="G674" s="38"/>
    </row>
    <row r="675">
      <c r="A675" s="19"/>
      <c r="B675" s="35"/>
      <c r="C675" s="35"/>
      <c r="G675" s="38"/>
    </row>
    <row r="676">
      <c r="A676" s="19"/>
      <c r="B676" s="35"/>
      <c r="C676" s="35"/>
      <c r="G676" s="38"/>
    </row>
    <row r="677">
      <c r="A677" s="19"/>
      <c r="B677" s="35"/>
      <c r="C677" s="35"/>
      <c r="G677" s="38"/>
    </row>
    <row r="678">
      <c r="A678" s="19"/>
      <c r="B678" s="35"/>
      <c r="C678" s="35"/>
      <c r="G678" s="38"/>
    </row>
    <row r="679">
      <c r="A679" s="19"/>
      <c r="B679" s="35"/>
      <c r="C679" s="35"/>
      <c r="G679" s="38"/>
    </row>
    <row r="680">
      <c r="A680" s="19"/>
      <c r="B680" s="35"/>
      <c r="C680" s="35"/>
      <c r="G680" s="38"/>
    </row>
    <row r="681">
      <c r="A681" s="19"/>
      <c r="B681" s="35"/>
      <c r="C681" s="35"/>
      <c r="G681" s="38"/>
    </row>
    <row r="682">
      <c r="A682" s="19"/>
      <c r="B682" s="35"/>
      <c r="C682" s="35"/>
      <c r="G682" s="38"/>
    </row>
    <row r="683">
      <c r="A683" s="19"/>
      <c r="B683" s="35"/>
      <c r="C683" s="35"/>
      <c r="G683" s="38"/>
    </row>
    <row r="684">
      <c r="A684" s="19"/>
      <c r="B684" s="35"/>
      <c r="C684" s="35"/>
      <c r="G684" s="38"/>
    </row>
    <row r="685">
      <c r="A685" s="19"/>
      <c r="B685" s="35"/>
      <c r="C685" s="35"/>
      <c r="G685" s="38"/>
    </row>
    <row r="686">
      <c r="A686" s="19"/>
      <c r="B686" s="35"/>
      <c r="C686" s="35"/>
      <c r="G686" s="38"/>
    </row>
    <row r="687">
      <c r="A687" s="19"/>
      <c r="B687" s="35"/>
      <c r="C687" s="35"/>
      <c r="G687" s="38"/>
    </row>
    <row r="688">
      <c r="A688" s="19"/>
      <c r="B688" s="35"/>
      <c r="C688" s="35"/>
      <c r="G688" s="38"/>
    </row>
    <row r="689">
      <c r="A689" s="19"/>
      <c r="B689" s="35"/>
      <c r="C689" s="35"/>
      <c r="G689" s="38"/>
    </row>
    <row r="690">
      <c r="A690" s="19"/>
      <c r="B690" s="35"/>
      <c r="C690" s="35"/>
      <c r="G690" s="38"/>
    </row>
    <row r="691">
      <c r="A691" s="19"/>
      <c r="B691" s="35"/>
      <c r="C691" s="35"/>
      <c r="G691" s="38"/>
    </row>
    <row r="692">
      <c r="A692" s="19"/>
      <c r="B692" s="35"/>
      <c r="C692" s="35"/>
      <c r="G692" s="38"/>
    </row>
    <row r="693">
      <c r="A693" s="19"/>
      <c r="B693" s="35"/>
      <c r="C693" s="35"/>
      <c r="G693" s="38"/>
    </row>
    <row r="694">
      <c r="A694" s="19"/>
      <c r="B694" s="35"/>
      <c r="C694" s="35"/>
      <c r="G694" s="38"/>
    </row>
    <row r="695">
      <c r="A695" s="19"/>
      <c r="B695" s="35"/>
      <c r="C695" s="35"/>
      <c r="G695" s="38"/>
    </row>
    <row r="696">
      <c r="A696" s="19"/>
      <c r="B696" s="35"/>
      <c r="C696" s="35"/>
      <c r="G696" s="38"/>
    </row>
    <row r="697">
      <c r="A697" s="19"/>
      <c r="B697" s="35"/>
      <c r="C697" s="35"/>
      <c r="G697" s="38"/>
    </row>
    <row r="698">
      <c r="A698" s="19"/>
      <c r="B698" s="35"/>
      <c r="C698" s="35"/>
      <c r="G698" s="38"/>
    </row>
    <row r="699">
      <c r="A699" s="19"/>
      <c r="B699" s="35"/>
      <c r="C699" s="35"/>
      <c r="G699" s="38"/>
    </row>
    <row r="700">
      <c r="A700" s="19"/>
      <c r="B700" s="35"/>
      <c r="C700" s="35"/>
      <c r="G700" s="38"/>
    </row>
    <row r="701">
      <c r="A701" s="19"/>
      <c r="B701" s="35"/>
      <c r="C701" s="35"/>
      <c r="G701" s="38"/>
    </row>
    <row r="702">
      <c r="A702" s="19"/>
      <c r="B702" s="35"/>
      <c r="C702" s="35"/>
      <c r="G702" s="38"/>
    </row>
    <row r="703">
      <c r="A703" s="19"/>
      <c r="B703" s="35"/>
      <c r="C703" s="35"/>
      <c r="G703" s="38"/>
    </row>
    <row r="704">
      <c r="A704" s="19"/>
      <c r="B704" s="35"/>
      <c r="C704" s="35"/>
      <c r="G704" s="38"/>
    </row>
    <row r="705">
      <c r="A705" s="19"/>
      <c r="B705" s="35"/>
      <c r="C705" s="35"/>
      <c r="G705" s="38"/>
    </row>
    <row r="706">
      <c r="A706" s="19"/>
      <c r="B706" s="35"/>
      <c r="C706" s="35"/>
      <c r="G706" s="38"/>
    </row>
    <row r="707">
      <c r="A707" s="19"/>
      <c r="B707" s="35"/>
      <c r="C707" s="35"/>
      <c r="G707" s="38"/>
    </row>
    <row r="708">
      <c r="A708" s="19"/>
      <c r="B708" s="35"/>
      <c r="C708" s="35"/>
      <c r="G708" s="38"/>
    </row>
    <row r="709">
      <c r="A709" s="19"/>
      <c r="B709" s="35"/>
      <c r="C709" s="35"/>
      <c r="G709" s="38"/>
    </row>
    <row r="710">
      <c r="A710" s="19"/>
      <c r="B710" s="35"/>
      <c r="C710" s="35"/>
      <c r="G710" s="38"/>
    </row>
    <row r="711">
      <c r="A711" s="19"/>
      <c r="B711" s="35"/>
      <c r="C711" s="35"/>
      <c r="G711" s="38"/>
    </row>
    <row r="712">
      <c r="A712" s="19"/>
      <c r="B712" s="35"/>
      <c r="C712" s="35"/>
      <c r="G712" s="38"/>
    </row>
    <row r="713">
      <c r="A713" s="19"/>
      <c r="B713" s="35"/>
      <c r="C713" s="35"/>
      <c r="G713" s="38"/>
    </row>
    <row r="714">
      <c r="A714" s="19"/>
      <c r="B714" s="35"/>
      <c r="C714" s="35"/>
      <c r="G714" s="38"/>
    </row>
    <row r="715">
      <c r="A715" s="19"/>
      <c r="B715" s="35"/>
      <c r="C715" s="35"/>
      <c r="G715" s="38"/>
    </row>
    <row r="716">
      <c r="A716" s="19"/>
      <c r="B716" s="35"/>
      <c r="C716" s="35"/>
      <c r="G716" s="38"/>
    </row>
    <row r="717">
      <c r="A717" s="19"/>
      <c r="B717" s="35"/>
      <c r="C717" s="35"/>
      <c r="G717" s="38"/>
    </row>
    <row r="718">
      <c r="A718" s="19"/>
      <c r="B718" s="35"/>
      <c r="C718" s="35"/>
      <c r="G718" s="38"/>
    </row>
    <row r="719">
      <c r="A719" s="19"/>
      <c r="B719" s="35"/>
      <c r="C719" s="35"/>
      <c r="G719" s="38"/>
    </row>
    <row r="720">
      <c r="A720" s="19"/>
      <c r="B720" s="35"/>
      <c r="C720" s="35"/>
      <c r="G720" s="38"/>
    </row>
    <row r="721">
      <c r="A721" s="19"/>
      <c r="B721" s="35"/>
      <c r="C721" s="35"/>
      <c r="G721" s="38"/>
    </row>
    <row r="722">
      <c r="A722" s="19"/>
      <c r="B722" s="35"/>
      <c r="C722" s="35"/>
      <c r="G722" s="38"/>
    </row>
    <row r="723">
      <c r="A723" s="19"/>
      <c r="B723" s="35"/>
      <c r="C723" s="35"/>
      <c r="G723" s="38"/>
    </row>
    <row r="724">
      <c r="A724" s="19"/>
      <c r="B724" s="35"/>
      <c r="C724" s="35"/>
      <c r="G724" s="38"/>
    </row>
    <row r="725">
      <c r="A725" s="19"/>
      <c r="B725" s="35"/>
      <c r="C725" s="35"/>
      <c r="G725" s="38"/>
    </row>
    <row r="726">
      <c r="A726" s="19"/>
      <c r="B726" s="35"/>
      <c r="C726" s="35"/>
      <c r="G726" s="38"/>
    </row>
    <row r="727">
      <c r="A727" s="19"/>
      <c r="B727" s="35"/>
      <c r="C727" s="35"/>
      <c r="G727" s="38"/>
    </row>
    <row r="728">
      <c r="A728" s="19"/>
      <c r="B728" s="35"/>
      <c r="C728" s="35"/>
      <c r="G728" s="38"/>
    </row>
    <row r="729">
      <c r="A729" s="19"/>
      <c r="B729" s="35"/>
      <c r="C729" s="35"/>
      <c r="G729" s="38"/>
    </row>
    <row r="730">
      <c r="A730" s="19"/>
      <c r="B730" s="35"/>
      <c r="C730" s="35"/>
      <c r="G730" s="38"/>
    </row>
    <row r="731">
      <c r="A731" s="19"/>
      <c r="B731" s="35"/>
      <c r="C731" s="35"/>
      <c r="G731" s="38"/>
    </row>
    <row r="732">
      <c r="A732" s="19"/>
      <c r="B732" s="35"/>
      <c r="C732" s="35"/>
      <c r="G732" s="38"/>
    </row>
    <row r="733">
      <c r="A733" s="19"/>
      <c r="B733" s="35"/>
      <c r="C733" s="35"/>
      <c r="G733" s="38"/>
    </row>
    <row r="734">
      <c r="A734" s="19"/>
      <c r="B734" s="35"/>
      <c r="C734" s="35"/>
      <c r="G734" s="38"/>
    </row>
    <row r="735">
      <c r="A735" s="19"/>
      <c r="B735" s="35"/>
      <c r="C735" s="35"/>
      <c r="G735" s="38"/>
    </row>
    <row r="736">
      <c r="A736" s="19"/>
      <c r="B736" s="35"/>
      <c r="C736" s="35"/>
      <c r="G736" s="38"/>
    </row>
    <row r="737">
      <c r="A737" s="19"/>
      <c r="B737" s="35"/>
      <c r="C737" s="35"/>
      <c r="G737" s="38"/>
    </row>
    <row r="738">
      <c r="A738" s="19"/>
      <c r="B738" s="35"/>
      <c r="C738" s="35"/>
      <c r="G738" s="38"/>
    </row>
    <row r="739">
      <c r="A739" s="19"/>
      <c r="B739" s="35"/>
      <c r="C739" s="35"/>
      <c r="G739" s="38"/>
    </row>
    <row r="740">
      <c r="A740" s="19"/>
      <c r="B740" s="35"/>
      <c r="C740" s="35"/>
      <c r="G740" s="38"/>
    </row>
    <row r="741">
      <c r="A741" s="19"/>
      <c r="B741" s="35"/>
      <c r="C741" s="35"/>
      <c r="G741" s="38"/>
    </row>
    <row r="742">
      <c r="A742" s="19"/>
      <c r="B742" s="35"/>
      <c r="C742" s="35"/>
      <c r="G742" s="38"/>
    </row>
    <row r="743">
      <c r="A743" s="19"/>
      <c r="B743" s="35"/>
      <c r="C743" s="35"/>
      <c r="G743" s="38"/>
    </row>
    <row r="744">
      <c r="A744" s="19"/>
      <c r="B744" s="35"/>
      <c r="C744" s="35"/>
      <c r="G744" s="38"/>
    </row>
    <row r="745">
      <c r="A745" s="19"/>
      <c r="B745" s="35"/>
      <c r="C745" s="35"/>
      <c r="G745" s="38"/>
    </row>
    <row r="746">
      <c r="A746" s="19"/>
      <c r="B746" s="35"/>
      <c r="C746" s="35"/>
      <c r="G746" s="38"/>
    </row>
    <row r="747">
      <c r="A747" s="19"/>
      <c r="B747" s="35"/>
      <c r="C747" s="35"/>
      <c r="G747" s="38"/>
    </row>
    <row r="748">
      <c r="A748" s="19"/>
      <c r="B748" s="35"/>
      <c r="C748" s="35"/>
      <c r="G748" s="38"/>
    </row>
    <row r="749">
      <c r="A749" s="19"/>
      <c r="B749" s="35"/>
      <c r="C749" s="35"/>
      <c r="G749" s="38"/>
    </row>
    <row r="750">
      <c r="A750" s="19"/>
      <c r="B750" s="35"/>
      <c r="C750" s="35"/>
      <c r="G750" s="38"/>
    </row>
    <row r="751">
      <c r="A751" s="19"/>
      <c r="B751" s="35"/>
      <c r="C751" s="35"/>
      <c r="G751" s="38"/>
    </row>
    <row r="752">
      <c r="A752" s="19"/>
      <c r="B752" s="35"/>
      <c r="C752" s="35"/>
      <c r="G752" s="38"/>
    </row>
    <row r="753">
      <c r="A753" s="19"/>
      <c r="B753" s="35"/>
      <c r="C753" s="35"/>
      <c r="G753" s="38"/>
    </row>
    <row r="754">
      <c r="A754" s="19"/>
      <c r="B754" s="35"/>
      <c r="C754" s="35"/>
      <c r="G754" s="38"/>
    </row>
    <row r="755">
      <c r="A755" s="19"/>
      <c r="B755" s="35"/>
      <c r="C755" s="35"/>
      <c r="G755" s="38"/>
    </row>
    <row r="756">
      <c r="A756" s="19"/>
      <c r="B756" s="35"/>
      <c r="C756" s="35"/>
      <c r="G756" s="38"/>
    </row>
    <row r="757">
      <c r="A757" s="19"/>
      <c r="B757" s="35"/>
      <c r="C757" s="35"/>
      <c r="G757" s="38"/>
    </row>
    <row r="758">
      <c r="A758" s="19"/>
      <c r="B758" s="35"/>
      <c r="C758" s="35"/>
      <c r="G758" s="38"/>
    </row>
    <row r="759">
      <c r="A759" s="19"/>
      <c r="B759" s="35"/>
      <c r="C759" s="35"/>
      <c r="G759" s="38"/>
    </row>
    <row r="760">
      <c r="A760" s="19"/>
      <c r="B760" s="35"/>
      <c r="C760" s="35"/>
      <c r="G760" s="38"/>
    </row>
    <row r="761">
      <c r="A761" s="19"/>
      <c r="B761" s="35"/>
      <c r="C761" s="35"/>
      <c r="G761" s="38"/>
    </row>
    <row r="762">
      <c r="A762" s="19"/>
      <c r="B762" s="35"/>
      <c r="C762" s="35"/>
      <c r="G762" s="38"/>
    </row>
    <row r="763">
      <c r="A763" s="19"/>
      <c r="B763" s="35"/>
      <c r="C763" s="35"/>
      <c r="G763" s="38"/>
    </row>
    <row r="764">
      <c r="A764" s="19"/>
      <c r="B764" s="35"/>
      <c r="C764" s="35"/>
      <c r="G764" s="38"/>
    </row>
    <row r="765">
      <c r="A765" s="19"/>
      <c r="B765" s="35"/>
      <c r="C765" s="35"/>
      <c r="G765" s="38"/>
    </row>
    <row r="766">
      <c r="A766" s="19"/>
      <c r="B766" s="35"/>
      <c r="C766" s="35"/>
      <c r="G766" s="38"/>
    </row>
    <row r="767">
      <c r="A767" s="19"/>
      <c r="B767" s="35"/>
      <c r="C767" s="35"/>
      <c r="G767" s="38"/>
    </row>
    <row r="768">
      <c r="A768" s="19"/>
      <c r="B768" s="35"/>
      <c r="C768" s="35"/>
      <c r="G768" s="38"/>
    </row>
    <row r="769">
      <c r="A769" s="19"/>
      <c r="B769" s="35"/>
      <c r="C769" s="35"/>
      <c r="G769" s="38"/>
    </row>
    <row r="770">
      <c r="A770" s="19"/>
      <c r="B770" s="35"/>
      <c r="C770" s="35"/>
      <c r="G770" s="38"/>
    </row>
    <row r="771">
      <c r="A771" s="19"/>
      <c r="B771" s="35"/>
      <c r="C771" s="35"/>
      <c r="G771" s="38"/>
    </row>
    <row r="772">
      <c r="A772" s="19"/>
      <c r="B772" s="35"/>
      <c r="C772" s="35"/>
      <c r="G772" s="38"/>
    </row>
    <row r="773">
      <c r="A773" s="19"/>
      <c r="B773" s="35"/>
      <c r="C773" s="35"/>
      <c r="G773" s="38"/>
    </row>
    <row r="774">
      <c r="A774" s="19"/>
      <c r="B774" s="35"/>
      <c r="C774" s="35"/>
      <c r="G774" s="38"/>
    </row>
    <row r="775">
      <c r="A775" s="19"/>
      <c r="B775" s="35"/>
      <c r="C775" s="35"/>
      <c r="G775" s="38"/>
    </row>
    <row r="776">
      <c r="A776" s="19"/>
      <c r="B776" s="35"/>
      <c r="C776" s="35"/>
      <c r="G776" s="38"/>
    </row>
    <row r="777">
      <c r="A777" s="19"/>
      <c r="B777" s="35"/>
      <c r="C777" s="35"/>
      <c r="G777" s="38"/>
    </row>
    <row r="778">
      <c r="A778" s="19"/>
      <c r="B778" s="35"/>
      <c r="C778" s="35"/>
      <c r="G778" s="38"/>
    </row>
    <row r="779">
      <c r="A779" s="19"/>
      <c r="B779" s="35"/>
      <c r="C779" s="35"/>
      <c r="G779" s="38"/>
    </row>
    <row r="780">
      <c r="A780" s="19"/>
      <c r="B780" s="35"/>
      <c r="C780" s="35"/>
      <c r="G780" s="38"/>
    </row>
    <row r="781">
      <c r="A781" s="19"/>
      <c r="B781" s="35"/>
      <c r="C781" s="35"/>
      <c r="G781" s="38"/>
    </row>
    <row r="782">
      <c r="A782" s="19"/>
      <c r="B782" s="35"/>
      <c r="C782" s="35"/>
      <c r="G782" s="38"/>
    </row>
    <row r="783">
      <c r="A783" s="19"/>
      <c r="B783" s="35"/>
      <c r="C783" s="35"/>
      <c r="G783" s="38"/>
    </row>
    <row r="784">
      <c r="A784" s="19"/>
      <c r="B784" s="35"/>
      <c r="C784" s="35"/>
      <c r="G784" s="38"/>
    </row>
    <row r="785">
      <c r="A785" s="19"/>
      <c r="B785" s="35"/>
      <c r="C785" s="35"/>
      <c r="G785" s="38"/>
    </row>
    <row r="786">
      <c r="A786" s="19"/>
      <c r="B786" s="35"/>
      <c r="C786" s="35"/>
      <c r="G786" s="38"/>
    </row>
    <row r="787">
      <c r="A787" s="19"/>
      <c r="B787" s="35"/>
      <c r="C787" s="35"/>
      <c r="G787" s="38"/>
    </row>
    <row r="788">
      <c r="A788" s="19"/>
      <c r="B788" s="35"/>
      <c r="C788" s="35"/>
      <c r="G788" s="38"/>
    </row>
    <row r="789">
      <c r="A789" s="19"/>
      <c r="B789" s="35"/>
      <c r="C789" s="35"/>
      <c r="G789" s="38"/>
    </row>
    <row r="790">
      <c r="A790" s="19"/>
      <c r="B790" s="35"/>
      <c r="C790" s="35"/>
      <c r="G790" s="38"/>
    </row>
    <row r="791">
      <c r="A791" s="19"/>
      <c r="B791" s="35"/>
      <c r="C791" s="35"/>
      <c r="G791" s="38"/>
    </row>
    <row r="792">
      <c r="A792" s="19"/>
      <c r="B792" s="35"/>
      <c r="C792" s="35"/>
      <c r="G792" s="38"/>
    </row>
    <row r="793">
      <c r="A793" s="19"/>
      <c r="B793" s="35"/>
      <c r="C793" s="35"/>
      <c r="G793" s="38"/>
    </row>
    <row r="794">
      <c r="A794" s="19"/>
      <c r="B794" s="35"/>
      <c r="C794" s="35"/>
      <c r="G794" s="38"/>
    </row>
    <row r="795">
      <c r="A795" s="19"/>
      <c r="B795" s="35"/>
      <c r="C795" s="35"/>
      <c r="G795" s="38"/>
    </row>
    <row r="796">
      <c r="A796" s="19"/>
      <c r="B796" s="35"/>
      <c r="C796" s="35"/>
      <c r="G796" s="38"/>
    </row>
    <row r="797">
      <c r="A797" s="19"/>
      <c r="B797" s="35"/>
      <c r="C797" s="35"/>
      <c r="G797" s="38"/>
    </row>
    <row r="798">
      <c r="A798" s="19"/>
      <c r="B798" s="35"/>
      <c r="C798" s="35"/>
      <c r="G798" s="38"/>
    </row>
    <row r="799">
      <c r="A799" s="19"/>
      <c r="B799" s="35"/>
      <c r="C799" s="35"/>
      <c r="G799" s="38"/>
    </row>
    <row r="800">
      <c r="A800" s="19"/>
      <c r="B800" s="35"/>
      <c r="C800" s="35"/>
      <c r="G800" s="38"/>
    </row>
    <row r="801">
      <c r="A801" s="19"/>
      <c r="B801" s="35"/>
      <c r="C801" s="35"/>
      <c r="G801" s="38"/>
    </row>
    <row r="802">
      <c r="A802" s="19"/>
      <c r="B802" s="35"/>
      <c r="C802" s="35"/>
      <c r="G802" s="38"/>
    </row>
    <row r="803">
      <c r="A803" s="19"/>
      <c r="B803" s="35"/>
      <c r="C803" s="35"/>
      <c r="G803" s="38"/>
    </row>
    <row r="804">
      <c r="A804" s="19"/>
      <c r="B804" s="35"/>
      <c r="C804" s="35"/>
      <c r="G804" s="38"/>
    </row>
    <row r="805">
      <c r="A805" s="19"/>
      <c r="B805" s="35"/>
      <c r="C805" s="35"/>
      <c r="G805" s="38"/>
    </row>
    <row r="806">
      <c r="A806" s="19"/>
      <c r="B806" s="35"/>
      <c r="C806" s="35"/>
      <c r="G806" s="38"/>
    </row>
    <row r="807">
      <c r="A807" s="19"/>
      <c r="B807" s="35"/>
      <c r="C807" s="35"/>
      <c r="G807" s="38"/>
    </row>
    <row r="808">
      <c r="A808" s="19"/>
      <c r="B808" s="35"/>
      <c r="C808" s="35"/>
      <c r="G808" s="38"/>
    </row>
    <row r="809">
      <c r="A809" s="19"/>
      <c r="B809" s="35"/>
      <c r="C809" s="35"/>
      <c r="G809" s="38"/>
    </row>
    <row r="810">
      <c r="A810" s="19"/>
      <c r="B810" s="35"/>
      <c r="C810" s="35"/>
      <c r="G810" s="38"/>
    </row>
    <row r="811">
      <c r="A811" s="19"/>
      <c r="B811" s="35"/>
      <c r="C811" s="35"/>
      <c r="G811" s="38"/>
    </row>
    <row r="812">
      <c r="A812" s="19"/>
      <c r="B812" s="35"/>
      <c r="C812" s="35"/>
      <c r="G812" s="38"/>
    </row>
    <row r="813">
      <c r="A813" s="19"/>
      <c r="B813" s="35"/>
      <c r="C813" s="35"/>
      <c r="G813" s="38"/>
    </row>
    <row r="814">
      <c r="A814" s="19"/>
      <c r="B814" s="35"/>
      <c r="C814" s="35"/>
      <c r="G814" s="38"/>
    </row>
    <row r="815">
      <c r="A815" s="19"/>
      <c r="B815" s="35"/>
      <c r="C815" s="35"/>
      <c r="G815" s="38"/>
    </row>
    <row r="816">
      <c r="A816" s="19"/>
      <c r="B816" s="35"/>
      <c r="C816" s="35"/>
      <c r="G816" s="38"/>
    </row>
    <row r="817">
      <c r="A817" s="19"/>
      <c r="B817" s="35"/>
      <c r="C817" s="35"/>
      <c r="G817" s="38"/>
    </row>
    <row r="818">
      <c r="A818" s="19"/>
      <c r="B818" s="35"/>
      <c r="C818" s="35"/>
      <c r="G818" s="38"/>
    </row>
    <row r="819">
      <c r="A819" s="19"/>
      <c r="B819" s="35"/>
      <c r="C819" s="35"/>
      <c r="G819" s="38"/>
    </row>
    <row r="820">
      <c r="A820" s="19"/>
      <c r="B820" s="35"/>
      <c r="C820" s="35"/>
      <c r="G820" s="38"/>
    </row>
    <row r="821">
      <c r="A821" s="19"/>
      <c r="B821" s="35"/>
      <c r="C821" s="35"/>
      <c r="G821" s="38"/>
    </row>
    <row r="822">
      <c r="A822" s="19"/>
      <c r="B822" s="35"/>
      <c r="C822" s="35"/>
      <c r="G822" s="38"/>
    </row>
    <row r="823">
      <c r="A823" s="19"/>
      <c r="B823" s="35"/>
      <c r="C823" s="35"/>
      <c r="G823" s="38"/>
    </row>
    <row r="824">
      <c r="A824" s="19"/>
      <c r="B824" s="35"/>
      <c r="C824" s="35"/>
      <c r="G824" s="38"/>
    </row>
    <row r="825">
      <c r="A825" s="19"/>
      <c r="B825" s="35"/>
      <c r="C825" s="35"/>
      <c r="G825" s="38"/>
    </row>
    <row r="826">
      <c r="A826" s="19"/>
      <c r="B826" s="35"/>
      <c r="C826" s="35"/>
      <c r="G826" s="38"/>
    </row>
    <row r="827">
      <c r="A827" s="19"/>
      <c r="B827" s="35"/>
      <c r="C827" s="35"/>
      <c r="G827" s="38"/>
    </row>
    <row r="828">
      <c r="A828" s="19"/>
      <c r="B828" s="35"/>
      <c r="C828" s="35"/>
      <c r="G828" s="38"/>
    </row>
    <row r="829">
      <c r="A829" s="19"/>
      <c r="B829" s="35"/>
      <c r="C829" s="35"/>
      <c r="G829" s="38"/>
    </row>
    <row r="830">
      <c r="A830" s="19"/>
      <c r="B830" s="35"/>
      <c r="C830" s="35"/>
      <c r="G830" s="38"/>
    </row>
    <row r="831">
      <c r="A831" s="19"/>
      <c r="B831" s="35"/>
      <c r="C831" s="35"/>
      <c r="G831" s="38"/>
    </row>
    <row r="832">
      <c r="A832" s="19"/>
      <c r="B832" s="35"/>
      <c r="C832" s="35"/>
      <c r="G832" s="38"/>
    </row>
    <row r="833">
      <c r="A833" s="19"/>
      <c r="B833" s="35"/>
      <c r="C833" s="35"/>
      <c r="G833" s="38"/>
    </row>
    <row r="834">
      <c r="A834" s="19"/>
      <c r="B834" s="35"/>
      <c r="C834" s="35"/>
      <c r="G834" s="38"/>
    </row>
    <row r="835">
      <c r="A835" s="19"/>
      <c r="B835" s="35"/>
      <c r="C835" s="35"/>
      <c r="G835" s="38"/>
    </row>
    <row r="836">
      <c r="A836" s="19"/>
      <c r="B836" s="35"/>
      <c r="C836" s="35"/>
      <c r="G836" s="38"/>
    </row>
    <row r="837">
      <c r="A837" s="19"/>
      <c r="B837" s="35"/>
      <c r="C837" s="35"/>
      <c r="G837" s="38"/>
    </row>
    <row r="838">
      <c r="A838" s="19"/>
      <c r="B838" s="35"/>
      <c r="C838" s="35"/>
      <c r="G838" s="38"/>
    </row>
    <row r="839">
      <c r="A839" s="19"/>
      <c r="B839" s="35"/>
      <c r="C839" s="35"/>
      <c r="G839" s="38"/>
    </row>
    <row r="840">
      <c r="A840" s="19"/>
      <c r="B840" s="35"/>
      <c r="C840" s="35"/>
      <c r="G840" s="38"/>
    </row>
    <row r="841">
      <c r="A841" s="19"/>
      <c r="B841" s="35"/>
      <c r="C841" s="35"/>
      <c r="G841" s="38"/>
    </row>
    <row r="842">
      <c r="A842" s="19"/>
      <c r="B842" s="35"/>
      <c r="C842" s="35"/>
      <c r="G842" s="38"/>
    </row>
    <row r="843">
      <c r="A843" s="19"/>
      <c r="B843" s="35"/>
      <c r="C843" s="35"/>
      <c r="G843" s="38"/>
    </row>
    <row r="844">
      <c r="A844" s="19"/>
      <c r="B844" s="35"/>
      <c r="C844" s="35"/>
      <c r="G844" s="38"/>
    </row>
    <row r="845">
      <c r="A845" s="19"/>
      <c r="B845" s="35"/>
      <c r="C845" s="35"/>
      <c r="G845" s="38"/>
    </row>
    <row r="846">
      <c r="A846" s="19"/>
      <c r="B846" s="35"/>
      <c r="C846" s="35"/>
      <c r="G846" s="38"/>
    </row>
    <row r="847">
      <c r="A847" s="19"/>
      <c r="B847" s="35"/>
      <c r="C847" s="35"/>
      <c r="G847" s="38"/>
    </row>
    <row r="848">
      <c r="A848" s="19"/>
      <c r="B848" s="35"/>
      <c r="C848" s="35"/>
      <c r="G848" s="38"/>
    </row>
    <row r="849">
      <c r="A849" s="19"/>
      <c r="B849" s="35"/>
      <c r="C849" s="35"/>
      <c r="G849" s="38"/>
    </row>
    <row r="850">
      <c r="A850" s="19"/>
      <c r="B850" s="35"/>
      <c r="C850" s="35"/>
      <c r="G850" s="38"/>
    </row>
    <row r="851">
      <c r="A851" s="19"/>
      <c r="B851" s="35"/>
      <c r="C851" s="35"/>
      <c r="G851" s="38"/>
    </row>
    <row r="852">
      <c r="A852" s="19"/>
      <c r="B852" s="35"/>
      <c r="C852" s="35"/>
      <c r="G852" s="38"/>
    </row>
    <row r="853">
      <c r="A853" s="19"/>
      <c r="B853" s="35"/>
      <c r="C853" s="35"/>
      <c r="G853" s="38"/>
    </row>
    <row r="854">
      <c r="A854" s="19"/>
      <c r="B854" s="35"/>
      <c r="C854" s="35"/>
      <c r="G854" s="38"/>
    </row>
    <row r="855">
      <c r="A855" s="19"/>
      <c r="B855" s="35"/>
      <c r="C855" s="35"/>
      <c r="G855" s="38"/>
    </row>
    <row r="856">
      <c r="A856" s="19"/>
      <c r="B856" s="35"/>
      <c r="C856" s="35"/>
      <c r="G856" s="38"/>
    </row>
    <row r="857">
      <c r="A857" s="19"/>
      <c r="B857" s="35"/>
      <c r="C857" s="35"/>
      <c r="G857" s="38"/>
    </row>
    <row r="858">
      <c r="A858" s="19"/>
      <c r="B858" s="35"/>
      <c r="C858" s="35"/>
      <c r="G858" s="38"/>
    </row>
    <row r="859">
      <c r="A859" s="19"/>
      <c r="B859" s="35"/>
      <c r="C859" s="35"/>
      <c r="G859" s="38"/>
    </row>
    <row r="860">
      <c r="A860" s="19"/>
      <c r="B860" s="35"/>
      <c r="C860" s="35"/>
      <c r="G860" s="38"/>
    </row>
    <row r="861">
      <c r="A861" s="19"/>
      <c r="B861" s="35"/>
      <c r="C861" s="35"/>
      <c r="G861" s="38"/>
    </row>
    <row r="862">
      <c r="A862" s="19"/>
      <c r="B862" s="35"/>
      <c r="C862" s="35"/>
      <c r="G862" s="38"/>
    </row>
    <row r="863">
      <c r="A863" s="19"/>
      <c r="B863" s="35"/>
      <c r="C863" s="35"/>
      <c r="G863" s="38"/>
    </row>
    <row r="864">
      <c r="A864" s="19"/>
      <c r="B864" s="35"/>
      <c r="C864" s="35"/>
      <c r="G864" s="38"/>
    </row>
    <row r="865">
      <c r="A865" s="19"/>
      <c r="B865" s="35"/>
      <c r="C865" s="35"/>
      <c r="G865" s="38"/>
    </row>
    <row r="866">
      <c r="A866" s="19"/>
      <c r="B866" s="35"/>
      <c r="C866" s="35"/>
      <c r="G866" s="38"/>
    </row>
    <row r="867">
      <c r="A867" s="19"/>
      <c r="B867" s="35"/>
      <c r="C867" s="35"/>
      <c r="G867" s="38"/>
    </row>
    <row r="868">
      <c r="A868" s="19"/>
      <c r="B868" s="35"/>
      <c r="C868" s="35"/>
      <c r="G868" s="38"/>
    </row>
    <row r="869">
      <c r="A869" s="19"/>
      <c r="B869" s="35"/>
      <c r="C869" s="35"/>
      <c r="G869" s="38"/>
    </row>
    <row r="870">
      <c r="A870" s="19"/>
      <c r="B870" s="35"/>
      <c r="C870" s="35"/>
      <c r="G870" s="38"/>
    </row>
    <row r="871">
      <c r="A871" s="19"/>
      <c r="B871" s="35"/>
      <c r="C871" s="35"/>
      <c r="G871" s="38"/>
    </row>
    <row r="872">
      <c r="A872" s="19"/>
      <c r="B872" s="35"/>
      <c r="C872" s="35"/>
      <c r="G872" s="38"/>
    </row>
    <row r="873">
      <c r="A873" s="19"/>
      <c r="B873" s="35"/>
      <c r="C873" s="35"/>
      <c r="G873" s="38"/>
    </row>
    <row r="874">
      <c r="A874" s="19"/>
      <c r="B874" s="35"/>
      <c r="C874" s="35"/>
      <c r="G874" s="38"/>
    </row>
    <row r="875">
      <c r="A875" s="19"/>
      <c r="B875" s="35"/>
      <c r="C875" s="35"/>
      <c r="G875" s="38"/>
    </row>
    <row r="876">
      <c r="A876" s="19"/>
      <c r="B876" s="35"/>
      <c r="C876" s="35"/>
      <c r="G876" s="38"/>
    </row>
    <row r="877">
      <c r="A877" s="19"/>
      <c r="B877" s="35"/>
      <c r="C877" s="35"/>
      <c r="G877" s="38"/>
    </row>
    <row r="878">
      <c r="A878" s="19"/>
      <c r="B878" s="35"/>
      <c r="C878" s="35"/>
      <c r="G878" s="38"/>
    </row>
    <row r="879">
      <c r="A879" s="19"/>
      <c r="B879" s="35"/>
      <c r="C879" s="35"/>
      <c r="G879" s="38"/>
    </row>
    <row r="880">
      <c r="A880" s="19"/>
      <c r="B880" s="35"/>
      <c r="C880" s="35"/>
      <c r="G880" s="38"/>
    </row>
    <row r="881">
      <c r="A881" s="19"/>
      <c r="B881" s="35"/>
      <c r="C881" s="35"/>
      <c r="G881" s="38"/>
    </row>
    <row r="882">
      <c r="A882" s="19"/>
      <c r="B882" s="35"/>
      <c r="C882" s="35"/>
      <c r="G882" s="38"/>
    </row>
    <row r="883">
      <c r="A883" s="19"/>
      <c r="B883" s="35"/>
      <c r="C883" s="35"/>
      <c r="G883" s="38"/>
    </row>
    <row r="884">
      <c r="A884" s="19"/>
      <c r="B884" s="35"/>
      <c r="C884" s="35"/>
      <c r="G884" s="38"/>
    </row>
    <row r="885">
      <c r="A885" s="19"/>
      <c r="B885" s="35"/>
      <c r="C885" s="35"/>
      <c r="G885" s="38"/>
    </row>
    <row r="886">
      <c r="A886" s="19"/>
      <c r="B886" s="35"/>
      <c r="C886" s="35"/>
      <c r="G886" s="38"/>
    </row>
    <row r="887">
      <c r="A887" s="19"/>
      <c r="B887" s="35"/>
      <c r="C887" s="35"/>
      <c r="G887" s="38"/>
    </row>
    <row r="888">
      <c r="A888" s="19"/>
      <c r="B888" s="35"/>
      <c r="C888" s="35"/>
      <c r="G888" s="38"/>
    </row>
    <row r="889">
      <c r="A889" s="19"/>
      <c r="B889" s="35"/>
      <c r="C889" s="35"/>
      <c r="G889" s="38"/>
    </row>
    <row r="890">
      <c r="A890" s="19"/>
      <c r="B890" s="35"/>
      <c r="C890" s="35"/>
      <c r="G890" s="38"/>
    </row>
    <row r="891">
      <c r="A891" s="19"/>
      <c r="B891" s="35"/>
      <c r="C891" s="35"/>
      <c r="G891" s="38"/>
    </row>
    <row r="892">
      <c r="A892" s="19"/>
      <c r="B892" s="35"/>
      <c r="C892" s="35"/>
      <c r="G892" s="38"/>
    </row>
    <row r="893">
      <c r="A893" s="19"/>
      <c r="B893" s="35"/>
      <c r="C893" s="35"/>
      <c r="G893" s="38"/>
    </row>
    <row r="894">
      <c r="A894" s="19"/>
      <c r="B894" s="35"/>
      <c r="C894" s="35"/>
      <c r="G894" s="38"/>
    </row>
    <row r="895">
      <c r="A895" s="19"/>
      <c r="B895" s="35"/>
      <c r="C895" s="35"/>
      <c r="G895" s="38"/>
    </row>
    <row r="896">
      <c r="A896" s="19"/>
      <c r="B896" s="35"/>
      <c r="C896" s="35"/>
      <c r="G896" s="38"/>
    </row>
    <row r="897">
      <c r="A897" s="19"/>
      <c r="B897" s="35"/>
      <c r="C897" s="35"/>
      <c r="G897" s="38"/>
    </row>
    <row r="898">
      <c r="A898" s="19"/>
      <c r="B898" s="35"/>
      <c r="C898" s="35"/>
      <c r="G898" s="38"/>
    </row>
    <row r="899">
      <c r="A899" s="19"/>
      <c r="B899" s="35"/>
      <c r="C899" s="35"/>
      <c r="G899" s="38"/>
    </row>
    <row r="900">
      <c r="A900" s="19"/>
      <c r="B900" s="35"/>
      <c r="C900" s="35"/>
      <c r="G900" s="38"/>
    </row>
    <row r="901">
      <c r="A901" s="19"/>
      <c r="B901" s="35"/>
      <c r="C901" s="35"/>
      <c r="G901" s="38"/>
    </row>
    <row r="902">
      <c r="A902" s="19"/>
      <c r="B902" s="35"/>
      <c r="C902" s="35"/>
      <c r="G902" s="38"/>
    </row>
    <row r="903">
      <c r="A903" s="19"/>
      <c r="B903" s="35"/>
      <c r="C903" s="35"/>
      <c r="G903" s="38"/>
    </row>
    <row r="904">
      <c r="A904" s="19"/>
      <c r="B904" s="35"/>
      <c r="C904" s="35"/>
      <c r="G904" s="38"/>
    </row>
    <row r="905">
      <c r="A905" s="19"/>
      <c r="B905" s="35"/>
      <c r="C905" s="35"/>
      <c r="G905" s="38"/>
    </row>
    <row r="906">
      <c r="A906" s="19"/>
      <c r="B906" s="35"/>
      <c r="C906" s="35"/>
      <c r="G906" s="38"/>
    </row>
    <row r="907">
      <c r="A907" s="19"/>
      <c r="B907" s="35"/>
      <c r="C907" s="35"/>
      <c r="G907" s="38"/>
    </row>
    <row r="908">
      <c r="A908" s="19"/>
      <c r="B908" s="35"/>
      <c r="C908" s="35"/>
      <c r="G908" s="38"/>
    </row>
    <row r="909">
      <c r="A909" s="19"/>
      <c r="B909" s="35"/>
      <c r="C909" s="35"/>
      <c r="G909" s="38"/>
    </row>
    <row r="910">
      <c r="A910" s="19"/>
      <c r="B910" s="35"/>
      <c r="C910" s="35"/>
      <c r="G910" s="38"/>
    </row>
    <row r="911">
      <c r="A911" s="19"/>
      <c r="B911" s="35"/>
      <c r="C911" s="35"/>
      <c r="G911" s="38"/>
    </row>
    <row r="912">
      <c r="A912" s="19"/>
      <c r="B912" s="35"/>
      <c r="C912" s="35"/>
      <c r="G912" s="38"/>
    </row>
    <row r="913">
      <c r="A913" s="19"/>
      <c r="B913" s="35"/>
      <c r="C913" s="35"/>
      <c r="G913" s="38"/>
    </row>
    <row r="914">
      <c r="A914" s="19"/>
      <c r="B914" s="35"/>
      <c r="C914" s="35"/>
      <c r="G914" s="38"/>
    </row>
    <row r="915">
      <c r="A915" s="19"/>
      <c r="B915" s="35"/>
      <c r="C915" s="35"/>
      <c r="G915" s="38"/>
    </row>
    <row r="916">
      <c r="A916" s="19"/>
      <c r="B916" s="35"/>
      <c r="C916" s="35"/>
      <c r="G916" s="38"/>
    </row>
    <row r="917">
      <c r="A917" s="19"/>
      <c r="B917" s="35"/>
      <c r="C917" s="35"/>
      <c r="G917" s="38"/>
    </row>
    <row r="918">
      <c r="A918" s="19"/>
      <c r="B918" s="35"/>
      <c r="C918" s="35"/>
      <c r="G918" s="38"/>
    </row>
    <row r="919">
      <c r="A919" s="19"/>
      <c r="B919" s="35"/>
      <c r="C919" s="35"/>
      <c r="G919" s="38"/>
    </row>
    <row r="920">
      <c r="A920" s="19"/>
      <c r="B920" s="35"/>
      <c r="C920" s="35"/>
      <c r="G920" s="38"/>
    </row>
    <row r="921">
      <c r="A921" s="19"/>
      <c r="B921" s="35"/>
      <c r="C921" s="35"/>
      <c r="G921" s="38"/>
    </row>
    <row r="922">
      <c r="A922" s="19"/>
      <c r="B922" s="35"/>
      <c r="C922" s="35"/>
      <c r="G922" s="38"/>
    </row>
    <row r="923">
      <c r="A923" s="19"/>
      <c r="B923" s="35"/>
      <c r="C923" s="35"/>
      <c r="G923" s="38"/>
    </row>
    <row r="924">
      <c r="A924" s="19"/>
      <c r="B924" s="35"/>
      <c r="C924" s="35"/>
      <c r="G924" s="38"/>
    </row>
    <row r="925">
      <c r="A925" s="19"/>
      <c r="B925" s="35"/>
      <c r="C925" s="35"/>
      <c r="G925" s="38"/>
    </row>
    <row r="926">
      <c r="A926" s="19"/>
      <c r="B926" s="35"/>
      <c r="C926" s="35"/>
      <c r="G926" s="38"/>
    </row>
    <row r="927">
      <c r="A927" s="19"/>
      <c r="B927" s="35"/>
      <c r="C927" s="35"/>
      <c r="G927" s="38"/>
    </row>
    <row r="928">
      <c r="A928" s="19"/>
      <c r="B928" s="35"/>
      <c r="C928" s="35"/>
      <c r="G928" s="38"/>
    </row>
    <row r="929">
      <c r="A929" s="19"/>
      <c r="B929" s="35"/>
      <c r="C929" s="35"/>
      <c r="G929" s="38"/>
    </row>
    <row r="930">
      <c r="A930" s="19"/>
      <c r="B930" s="35"/>
      <c r="C930" s="35"/>
      <c r="G930" s="38"/>
    </row>
  </sheetData>
  <mergeCells count="16">
    <mergeCell ref="A1:F1"/>
    <mergeCell ref="A32:F32"/>
    <mergeCell ref="A44:F44"/>
    <mergeCell ref="A63:F63"/>
    <mergeCell ref="A72:F72"/>
    <mergeCell ref="A93:F93"/>
    <mergeCell ref="A111:F111"/>
    <mergeCell ref="A157:E157"/>
    <mergeCell ref="A158:E158"/>
    <mergeCell ref="A131:F131"/>
    <mergeCell ref="A142:F142"/>
    <mergeCell ref="A152:E152"/>
    <mergeCell ref="A153:E153"/>
    <mergeCell ref="A154:E154"/>
    <mergeCell ref="A155:E155"/>
    <mergeCell ref="A156:E156"/>
  </mergeCells>
  <dataValidations>
    <dataValidation type="list" allowBlank="1" sqref="F3:F29 F34:F41 F46:F61 F65:F69 F74:F90 F95:F109 F113:F128 F133:F138 F144:F148">
      <formula1>"Published,Draft,Pending Approval"</formula1>
    </dataValidation>
  </dataValidation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4"/>
    <hyperlink r:id="rId29" ref="A35"/>
    <hyperlink r:id="rId30" ref="A36"/>
    <hyperlink r:id="rId31" ref="A37"/>
    <hyperlink r:id="rId32" ref="A40"/>
    <hyperlink r:id="rId33" ref="A41"/>
    <hyperlink r:id="rId34" ref="A46"/>
    <hyperlink r:id="rId35" ref="A47"/>
    <hyperlink r:id="rId36" ref="A48"/>
    <hyperlink r:id="rId37" ref="A49"/>
    <hyperlink r:id="rId38" ref="A50"/>
    <hyperlink r:id="rId39" ref="A51"/>
    <hyperlink r:id="rId40" ref="A52"/>
    <hyperlink r:id="rId41" ref="A53"/>
    <hyperlink r:id="rId42" ref="A54"/>
    <hyperlink r:id="rId43" ref="A56"/>
    <hyperlink r:id="rId44" ref="A57"/>
    <hyperlink r:id="rId45" ref="A58"/>
    <hyperlink r:id="rId46" ref="A59"/>
    <hyperlink r:id="rId47" ref="A60"/>
    <hyperlink r:id="rId48" ref="A61"/>
    <hyperlink r:id="rId49" ref="A65"/>
    <hyperlink r:id="rId50" ref="A66"/>
    <hyperlink r:id="rId51" ref="A67"/>
    <hyperlink r:id="rId52" ref="A68"/>
    <hyperlink r:id="rId53" ref="A69"/>
    <hyperlink r:id="rId54" ref="A74"/>
    <hyperlink r:id="rId55" ref="A75"/>
    <hyperlink r:id="rId56" ref="A76"/>
    <hyperlink r:id="rId57" ref="A77"/>
    <hyperlink r:id="rId58" ref="A78"/>
    <hyperlink r:id="rId59" ref="A79"/>
    <hyperlink r:id="rId60" ref="A80"/>
    <hyperlink r:id="rId61" ref="A81"/>
    <hyperlink r:id="rId62" ref="A82"/>
    <hyperlink r:id="rId63" ref="A83"/>
    <hyperlink r:id="rId64" ref="A84"/>
    <hyperlink r:id="rId65" ref="A85"/>
    <hyperlink r:id="rId66" ref="A86"/>
    <hyperlink r:id="rId67" ref="A87"/>
    <hyperlink r:id="rId68" ref="A88"/>
    <hyperlink r:id="rId69" ref="A89"/>
    <hyperlink r:id="rId70" ref="A90"/>
    <hyperlink r:id="rId71" ref="A95"/>
    <hyperlink r:id="rId72" ref="A96"/>
    <hyperlink r:id="rId73" ref="A97"/>
    <hyperlink r:id="rId74" ref="A98"/>
    <hyperlink r:id="rId75" ref="A99"/>
    <hyperlink r:id="rId76" ref="A100"/>
    <hyperlink r:id="rId77" ref="A101"/>
    <hyperlink r:id="rId78" ref="A102"/>
    <hyperlink r:id="rId79" ref="A103"/>
    <hyperlink r:id="rId80" ref="A104"/>
    <hyperlink r:id="rId81" ref="A105"/>
    <hyperlink r:id="rId82" ref="A106"/>
    <hyperlink r:id="rId83" ref="A107"/>
    <hyperlink r:id="rId84" ref="A108"/>
    <hyperlink r:id="rId85" ref="A109"/>
    <hyperlink r:id="rId86" ref="A113"/>
    <hyperlink r:id="rId87" ref="A114"/>
    <hyperlink r:id="rId88" ref="A115"/>
    <hyperlink r:id="rId89" ref="A116"/>
    <hyperlink r:id="rId90" ref="A117"/>
    <hyperlink r:id="rId91" ref="A118"/>
    <hyperlink r:id="rId92" ref="A119"/>
    <hyperlink r:id="rId93" ref="A120"/>
    <hyperlink r:id="rId94" ref="A121"/>
    <hyperlink r:id="rId95" ref="A122"/>
    <hyperlink r:id="rId96" ref="A123"/>
    <hyperlink r:id="rId97" ref="A124"/>
    <hyperlink r:id="rId98" ref="A125"/>
    <hyperlink r:id="rId99" ref="A126"/>
    <hyperlink r:id="rId100" ref="A127"/>
    <hyperlink r:id="rId101" ref="A128"/>
    <hyperlink r:id="rId102" ref="A133"/>
    <hyperlink r:id="rId103" ref="A134"/>
    <hyperlink r:id="rId104" ref="A135"/>
    <hyperlink r:id="rId105" ref="A136"/>
    <hyperlink r:id="rId106" ref="A137"/>
    <hyperlink r:id="rId107" ref="A138"/>
    <hyperlink r:id="rId108" ref="A144"/>
    <hyperlink r:id="rId109" ref="A145"/>
    <hyperlink r:id="rId110" ref="A147"/>
    <hyperlink r:id="rId111" ref="A148"/>
  </hyperlinks>
  <drawing r:id="rId112"/>
  <tableParts count="10"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57.0"/>
    <col customWidth="1" min="3" max="3" width="44.63"/>
    <col customWidth="1" min="4" max="4" width="29.88"/>
    <col customWidth="1" min="5" max="5" width="22.5"/>
  </cols>
  <sheetData>
    <row r="1">
      <c r="A1" s="141" t="s">
        <v>0</v>
      </c>
      <c r="B1" s="142" t="s">
        <v>295</v>
      </c>
      <c r="C1" s="142" t="s">
        <v>296</v>
      </c>
      <c r="D1" s="142" t="s">
        <v>297</v>
      </c>
      <c r="E1" s="142" t="s">
        <v>298</v>
      </c>
      <c r="F1" s="143" t="s">
        <v>299</v>
      </c>
    </row>
    <row r="2">
      <c r="A2" s="144" t="str">
        <f>HYPERLINK("https://bdgrowthsuite.com/tools/bitrix24-integration-for-members-signup", "View Tool")</f>
        <v>View Tool</v>
      </c>
      <c r="B2" s="145" t="s">
        <v>146</v>
      </c>
      <c r="C2" s="57" t="s">
        <v>300</v>
      </c>
      <c r="D2" s="57" t="s">
        <v>301</v>
      </c>
      <c r="E2" s="57" t="s">
        <v>300</v>
      </c>
      <c r="F2" s="146" t="s">
        <v>300</v>
      </c>
    </row>
    <row r="3">
      <c r="A3" s="144" t="str">
        <f>HYPERLINK("https://bdgrowthsuite.com/tools/blog-post-and-article-writing", "View Tool")</f>
        <v>View Tool</v>
      </c>
      <c r="B3" s="145" t="s">
        <v>149</v>
      </c>
      <c r="C3" s="57" t="s">
        <v>300</v>
      </c>
      <c r="D3" s="57" t="s">
        <v>301</v>
      </c>
      <c r="E3" s="57" t="s">
        <v>300</v>
      </c>
      <c r="F3" s="146" t="s">
        <v>300</v>
      </c>
    </row>
    <row r="4">
      <c r="A4" s="144" t="str">
        <f>HYPERLINK("https://bdgrowthsuite.com/tools/call-to-action-manager-for-blog-articles", "View Tool")</f>
        <v>View Tool</v>
      </c>
      <c r="B4" s="145" t="s">
        <v>151</v>
      </c>
      <c r="C4" s="57" t="s">
        <v>300</v>
      </c>
      <c r="D4" s="57" t="s">
        <v>301</v>
      </c>
      <c r="E4" s="57" t="s">
        <v>300</v>
      </c>
      <c r="F4" s="146" t="s">
        <v>300</v>
      </c>
    </row>
    <row r="5">
      <c r="A5" s="144" t="str">
        <f>HYPERLINK("https://bdgrowthsuite.com/tools/chatbot-development-and-setup", "View Tool")</f>
        <v>View Tool</v>
      </c>
      <c r="B5" s="145" t="s">
        <v>152</v>
      </c>
      <c r="C5" s="57" t="s">
        <v>300</v>
      </c>
      <c r="D5" s="57" t="s">
        <v>301</v>
      </c>
      <c r="E5" s="57" t="s">
        <v>300</v>
      </c>
      <c r="F5" s="146" t="s">
        <v>300</v>
      </c>
    </row>
    <row r="6">
      <c r="A6" s="144" t="str">
        <f>HYPERLINK("https://bdgrowthsuite.com/tools/copywriting-for-email-funnels", "View Tool")</f>
        <v>View Tool</v>
      </c>
      <c r="B6" s="145" t="s">
        <v>154</v>
      </c>
      <c r="C6" s="57" t="s">
        <v>300</v>
      </c>
      <c r="D6" s="57" t="s">
        <v>301</v>
      </c>
      <c r="E6" s="57" t="s">
        <v>300</v>
      </c>
      <c r="F6" s="146" t="s">
        <v>300</v>
      </c>
    </row>
    <row r="7">
      <c r="A7" s="144" t="str">
        <f>HYPERLINK("https://bdgrowthsuite.com/tools/copywriting-for-landing-page-funnels", "View Tool")</f>
        <v>View Tool</v>
      </c>
      <c r="B7" s="145" t="s">
        <v>156</v>
      </c>
      <c r="C7" s="57" t="s">
        <v>300</v>
      </c>
      <c r="D7" s="57" t="s">
        <v>301</v>
      </c>
      <c r="E7" s="57" t="s">
        <v>300</v>
      </c>
      <c r="F7" s="146" t="s">
        <v>300</v>
      </c>
    </row>
    <row r="8">
      <c r="A8" s="144" t="str">
        <f>HYPERLINK("https://bdgrowthsuite.com/tools/copywriting-of-about-us-page", "View Tool")</f>
        <v>View Tool</v>
      </c>
      <c r="B8" s="145" t="s">
        <v>157</v>
      </c>
      <c r="C8" s="57" t="s">
        <v>300</v>
      </c>
      <c r="D8" s="57" t="s">
        <v>301</v>
      </c>
      <c r="E8" s="57" t="s">
        <v>300</v>
      </c>
      <c r="F8" s="146" t="s">
        <v>300</v>
      </c>
    </row>
    <row r="9">
      <c r="A9" s="144" t="str">
        <f>HYPERLINK("https://bdgrowthsuite.com/tools/copywriting-of-addon-services-of-your-directory", "View Tool")</f>
        <v>View Tool</v>
      </c>
      <c r="B9" s="145" t="s">
        <v>158</v>
      </c>
      <c r="C9" s="57" t="s">
        <v>300</v>
      </c>
      <c r="D9" s="57" t="s">
        <v>301</v>
      </c>
      <c r="E9" s="57" t="s">
        <v>300</v>
      </c>
      <c r="F9" s="146" t="s">
        <v>300</v>
      </c>
    </row>
    <row r="10">
      <c r="A10" s="144" t="str">
        <f>HYPERLINK("https://bdgrowthsuite.com/tools/copywriting-of-category-page-s-contents", "View Tool")</f>
        <v>View Tool</v>
      </c>
      <c r="B10" s="145" t="s">
        <v>159</v>
      </c>
      <c r="C10" s="57" t="s">
        <v>300</v>
      </c>
      <c r="D10" s="57" t="s">
        <v>301</v>
      </c>
      <c r="E10" s="57" t="s">
        <v>300</v>
      </c>
      <c r="F10" s="146" t="s">
        <v>300</v>
      </c>
    </row>
    <row r="11">
      <c r="A11" s="144" t="str">
        <f>HYPERLINK("https://bdgrowthsuite.com/tools/copywriting-of-core-services-of-your-directory", "View Tool")</f>
        <v>View Tool</v>
      </c>
      <c r="B11" s="145" t="s">
        <v>160</v>
      </c>
      <c r="C11" s="57" t="s">
        <v>300</v>
      </c>
      <c r="D11" s="57" t="s">
        <v>301</v>
      </c>
      <c r="E11" s="57" t="s">
        <v>300</v>
      </c>
      <c r="F11" s="146" t="s">
        <v>300</v>
      </c>
    </row>
    <row r="12">
      <c r="A12" s="144" t="str">
        <f>HYPERLINK("https://bdgrowthsuite.com/tools/copywriting-of-home-page", "View Tool")</f>
        <v>View Tool</v>
      </c>
      <c r="B12" s="145" t="s">
        <v>161</v>
      </c>
      <c r="C12" s="57" t="s">
        <v>300</v>
      </c>
      <c r="D12" s="57" t="s">
        <v>301</v>
      </c>
      <c r="E12" s="57" t="s">
        <v>300</v>
      </c>
      <c r="F12" s="146" t="s">
        <v>300</v>
      </c>
    </row>
    <row r="13">
      <c r="A13" s="144" t="str">
        <f>HYPERLINK("https://bdgrowthsuite.com/tools/copywriting-of-join-page", "View Tool")</f>
        <v>View Tool</v>
      </c>
      <c r="B13" s="145" t="s">
        <v>162</v>
      </c>
      <c r="C13" s="57" t="s">
        <v>300</v>
      </c>
      <c r="D13" s="57" t="s">
        <v>301</v>
      </c>
      <c r="E13" s="57" t="s">
        <v>300</v>
      </c>
      <c r="F13" s="146" t="s">
        <v>300</v>
      </c>
    </row>
    <row r="14">
      <c r="A14" s="144" t="str">
        <f>HYPERLINK("https://bdgrowthsuite.com/tools/customize-the-members-signup-forms", "View Tool")</f>
        <v>View Tool</v>
      </c>
      <c r="B14" s="145" t="s">
        <v>163</v>
      </c>
      <c r="C14" s="57" t="s">
        <v>300</v>
      </c>
      <c r="D14" s="57" t="s">
        <v>301</v>
      </c>
      <c r="E14" s="57" t="s">
        <v>300</v>
      </c>
      <c r="F14" s="146" t="s">
        <v>300</v>
      </c>
    </row>
    <row r="15">
      <c r="A15" s="144" t="str">
        <f>HYPERLINK("https://bdgrowthsuite.com/tools/e-commerce-for-bd-sites", "View Tool")</f>
        <v>View Tool</v>
      </c>
      <c r="B15" s="145" t="s">
        <v>165</v>
      </c>
      <c r="C15" s="57" t="s">
        <v>300</v>
      </c>
      <c r="D15" s="57" t="s">
        <v>301</v>
      </c>
      <c r="E15" s="57" t="s">
        <v>300</v>
      </c>
      <c r="F15" s="146" t="s">
        <v>300</v>
      </c>
    </row>
    <row r="16">
      <c r="A16" s="144" t="str">
        <f>HYPERLINK("https://bdgrowthsuite.com/tools/hubspot-integration-for-members-signup", "View Tool")</f>
        <v>View Tool</v>
      </c>
      <c r="B16" s="145" t="s">
        <v>167</v>
      </c>
      <c r="C16" s="57" t="s">
        <v>300</v>
      </c>
      <c r="D16" s="57" t="s">
        <v>301</v>
      </c>
      <c r="E16" s="57" t="s">
        <v>300</v>
      </c>
      <c r="F16" s="146" t="s">
        <v>300</v>
      </c>
    </row>
    <row r="17">
      <c r="A17" s="144" t="str">
        <f>HYPERLINK("https://bdgrowthsuite.com/tools/outreach-support-advanced-level", "View Tool")</f>
        <v>View Tool</v>
      </c>
      <c r="B17" s="145" t="s">
        <v>168</v>
      </c>
      <c r="C17" s="57" t="s">
        <v>300</v>
      </c>
      <c r="D17" s="57" t="s">
        <v>301</v>
      </c>
      <c r="E17" s="57" t="s">
        <v>300</v>
      </c>
      <c r="F17" s="146" t="s">
        <v>300</v>
      </c>
    </row>
    <row r="18">
      <c r="A18" s="144" t="str">
        <f>HYPERLINK("https://bdgrowthsuite.com/tools/outreach-support-basic-level", "View Tool")</f>
        <v>View Tool</v>
      </c>
      <c r="B18" s="145" t="s">
        <v>170</v>
      </c>
      <c r="C18" s="57" t="s">
        <v>300</v>
      </c>
      <c r="D18" s="57" t="s">
        <v>301</v>
      </c>
      <c r="E18" s="57" t="s">
        <v>300</v>
      </c>
      <c r="F18" s="146" t="s">
        <v>300</v>
      </c>
    </row>
    <row r="19">
      <c r="A19" s="144" t="str">
        <f>HYPERLINK("https://bdgrowthsuite.com/tools/pipedrive-integration-for-members-signup", "View Tool")</f>
        <v>View Tool</v>
      </c>
      <c r="B19" s="145" t="s">
        <v>171</v>
      </c>
      <c r="C19" s="57" t="s">
        <v>300</v>
      </c>
      <c r="D19" s="57" t="s">
        <v>300</v>
      </c>
      <c r="E19" s="57" t="s">
        <v>300</v>
      </c>
      <c r="F19" s="146" t="s">
        <v>300</v>
      </c>
    </row>
    <row r="20">
      <c r="A20" s="144" t="str">
        <f>HYPERLINK("https://bdgrowthsuite.com/tools/search-results-faq-with-faq-management-plugin", "View Tool")</f>
        <v>View Tool</v>
      </c>
      <c r="B20" s="145" t="s">
        <v>172</v>
      </c>
      <c r="C20" s="57" t="s">
        <v>301</v>
      </c>
      <c r="D20" s="57" t="s">
        <v>301</v>
      </c>
      <c r="E20" s="57" t="s">
        <v>301</v>
      </c>
      <c r="F20" s="146" t="s">
        <v>301</v>
      </c>
    </row>
    <row r="21">
      <c r="A21" s="144" t="str">
        <f>HYPERLINK("https://bdgrowthsuite.com/tools/sendinblue-s-tracking-integration", "View Tool")</f>
        <v>View Tool</v>
      </c>
      <c r="B21" s="145" t="s">
        <v>174</v>
      </c>
      <c r="C21" s="57" t="s">
        <v>300</v>
      </c>
      <c r="D21" s="57" t="s">
        <v>301</v>
      </c>
      <c r="E21" s="57" t="s">
        <v>300</v>
      </c>
      <c r="F21" s="146" t="s">
        <v>300</v>
      </c>
    </row>
    <row r="22">
      <c r="A22" s="144" t="str">
        <f>HYPERLINK("https://bdgrowthsuite.com/tools/step-by-step-article-how-to-create-your-business-listing-on-the-directory", "View Tool")</f>
        <v>View Tool</v>
      </c>
      <c r="B22" s="145" t="s">
        <v>175</v>
      </c>
      <c r="C22" s="57" t="s">
        <v>300</v>
      </c>
      <c r="D22" s="57" t="s">
        <v>301</v>
      </c>
      <c r="E22" s="57" t="s">
        <v>300</v>
      </c>
      <c r="F22" s="146" t="s">
        <v>300</v>
      </c>
    </row>
    <row r="23">
      <c r="A23" s="144" t="str">
        <f>HYPERLINK("https://bdgrowthsuite.com/tools/video-on-no-search-results-page", "View Tool")</f>
        <v>View Tool</v>
      </c>
      <c r="B23" s="145" t="s">
        <v>177</v>
      </c>
      <c r="C23" s="57" t="s">
        <v>300</v>
      </c>
      <c r="D23" s="57" t="s">
        <v>301</v>
      </c>
      <c r="E23" s="57" t="s">
        <v>300</v>
      </c>
      <c r="F23" s="146" t="s">
        <v>300</v>
      </c>
    </row>
    <row r="24">
      <c r="A24" s="144" t="str">
        <f>HYPERLINK("https://bdgrowthsuite.com/tools/video-or-form-installation", "View Tool")</f>
        <v>View Tool</v>
      </c>
      <c r="B24" s="145" t="s">
        <v>178</v>
      </c>
      <c r="C24" s="57" t="s">
        <v>300</v>
      </c>
      <c r="D24" s="57" t="s">
        <v>301</v>
      </c>
      <c r="E24" s="57" t="s">
        <v>300</v>
      </c>
      <c r="F24" s="146" t="s">
        <v>300</v>
      </c>
    </row>
    <row r="25">
      <c r="A25" s="147" t="str">
        <f>HYPERLINK("https://bdgrowthsuite.com/tools/video-how-to-create-your-business-listing-on-the-directory", "View Tool")</f>
        <v>View Tool</v>
      </c>
      <c r="B25" s="148" t="s">
        <v>180</v>
      </c>
      <c r="C25" s="149" t="s">
        <v>300</v>
      </c>
      <c r="D25" s="149" t="s">
        <v>301</v>
      </c>
      <c r="E25" s="149" t="s">
        <v>300</v>
      </c>
      <c r="F25" s="150" t="s">
        <v>300</v>
      </c>
    </row>
    <row r="26">
      <c r="A26" s="46"/>
    </row>
    <row r="27">
      <c r="A27" s="46"/>
    </row>
    <row r="28">
      <c r="A28" s="46"/>
    </row>
    <row r="29">
      <c r="A29" s="151" t="s">
        <v>302</v>
      </c>
      <c r="B29" s="152" t="s">
        <v>303</v>
      </c>
      <c r="C29" s="152" t="s">
        <v>304</v>
      </c>
      <c r="D29" s="153" t="s">
        <v>305</v>
      </c>
    </row>
    <row r="30">
      <c r="A30" s="154" t="s">
        <v>306</v>
      </c>
      <c r="B30" s="155" t="s">
        <v>117</v>
      </c>
      <c r="C30" s="155" t="s">
        <v>248</v>
      </c>
      <c r="D30" s="156"/>
    </row>
    <row r="31">
      <c r="A31" s="154" t="s">
        <v>62</v>
      </c>
      <c r="B31" s="155" t="s">
        <v>142</v>
      </c>
      <c r="C31" s="155" t="s">
        <v>192</v>
      </c>
      <c r="D31" s="156"/>
    </row>
    <row r="32">
      <c r="A32" s="154" t="s">
        <v>307</v>
      </c>
      <c r="B32" s="155" t="s">
        <v>210</v>
      </c>
      <c r="C32" s="155" t="s">
        <v>253</v>
      </c>
      <c r="D32" s="156"/>
    </row>
    <row r="33">
      <c r="A33" s="154" t="s">
        <v>308</v>
      </c>
      <c r="B33" s="155" t="s">
        <v>206</v>
      </c>
      <c r="C33" s="155" t="s">
        <v>204</v>
      </c>
      <c r="D33" s="156"/>
    </row>
    <row r="34">
      <c r="A34" s="154" t="s">
        <v>309</v>
      </c>
      <c r="B34" s="155" t="s">
        <v>200</v>
      </c>
      <c r="C34" s="155" t="s">
        <v>198</v>
      </c>
      <c r="D34" s="156"/>
    </row>
    <row r="35">
      <c r="A35" s="154" t="s">
        <v>310</v>
      </c>
      <c r="B35" s="155" t="s">
        <v>311</v>
      </c>
      <c r="C35" s="155" t="s">
        <v>208</v>
      </c>
      <c r="D35" s="156"/>
    </row>
    <row r="36">
      <c r="A36" s="154" t="s">
        <v>312</v>
      </c>
      <c r="B36" s="155" t="s">
        <v>85</v>
      </c>
      <c r="C36" s="155" t="s">
        <v>127</v>
      </c>
      <c r="D36" s="157" t="s">
        <v>163</v>
      </c>
    </row>
    <row r="37">
      <c r="A37" s="154" t="s">
        <v>313</v>
      </c>
      <c r="B37" s="155" t="s">
        <v>243</v>
      </c>
      <c r="C37" s="155" t="s">
        <v>282</v>
      </c>
      <c r="D37" s="156"/>
    </row>
    <row r="38">
      <c r="A38" s="154" t="s">
        <v>314</v>
      </c>
      <c r="B38" s="155" t="s">
        <v>135</v>
      </c>
      <c r="C38" s="155" t="s">
        <v>184</v>
      </c>
      <c r="D38" s="156"/>
    </row>
    <row r="39">
      <c r="A39" s="158" t="s">
        <v>315</v>
      </c>
      <c r="B39" s="159" t="s">
        <v>17</v>
      </c>
      <c r="C39" s="159" t="s">
        <v>181</v>
      </c>
      <c r="D39" s="160"/>
    </row>
    <row r="40">
      <c r="A40" s="46"/>
    </row>
    <row r="41">
      <c r="A41" s="46"/>
    </row>
    <row r="42">
      <c r="A42" s="46"/>
    </row>
    <row r="43">
      <c r="A43" s="46"/>
    </row>
    <row r="44">
      <c r="A44" s="46"/>
    </row>
    <row r="45">
      <c r="A45" s="46"/>
    </row>
    <row r="46">
      <c r="A46" s="46"/>
    </row>
    <row r="47">
      <c r="A47" s="46"/>
    </row>
    <row r="48">
      <c r="A48" s="46"/>
    </row>
    <row r="49">
      <c r="A49" s="46"/>
    </row>
    <row r="50">
      <c r="A50" s="46"/>
    </row>
    <row r="51">
      <c r="A51" s="46"/>
    </row>
    <row r="52">
      <c r="A52" s="46"/>
    </row>
    <row r="53">
      <c r="A53" s="46"/>
    </row>
    <row r="54">
      <c r="A54" s="46"/>
    </row>
    <row r="55">
      <c r="A55" s="46"/>
    </row>
    <row r="56">
      <c r="A56" s="46"/>
    </row>
    <row r="57">
      <c r="A57" s="46"/>
    </row>
    <row r="58">
      <c r="A58" s="46"/>
    </row>
    <row r="59">
      <c r="A59" s="46"/>
    </row>
    <row r="60">
      <c r="A60" s="46"/>
    </row>
    <row r="61">
      <c r="A61" s="46"/>
    </row>
    <row r="62">
      <c r="A62" s="46"/>
    </row>
    <row r="63">
      <c r="A63" s="46"/>
    </row>
    <row r="64">
      <c r="A64" s="46"/>
    </row>
    <row r="65">
      <c r="A65" s="46"/>
    </row>
    <row r="66">
      <c r="A66" s="46"/>
    </row>
    <row r="67">
      <c r="A67" s="46"/>
    </row>
    <row r="68">
      <c r="A68" s="46"/>
    </row>
    <row r="69">
      <c r="A69" s="46"/>
    </row>
    <row r="70">
      <c r="A70" s="46"/>
    </row>
    <row r="71">
      <c r="A71" s="46"/>
    </row>
    <row r="72">
      <c r="A72" s="46"/>
    </row>
    <row r="73">
      <c r="A73" s="46"/>
    </row>
    <row r="74">
      <c r="A74" s="46"/>
    </row>
    <row r="75">
      <c r="A75" s="46"/>
    </row>
    <row r="76">
      <c r="A76" s="46"/>
    </row>
    <row r="77">
      <c r="A77" s="46"/>
    </row>
    <row r="78">
      <c r="A78" s="46"/>
    </row>
    <row r="79">
      <c r="A79" s="46"/>
    </row>
    <row r="80">
      <c r="A80" s="46"/>
    </row>
    <row r="81">
      <c r="A81" s="46"/>
    </row>
    <row r="82">
      <c r="A82" s="46"/>
    </row>
    <row r="83">
      <c r="A83" s="46"/>
    </row>
    <row r="84">
      <c r="A84" s="46"/>
    </row>
    <row r="85">
      <c r="A85" s="46"/>
    </row>
    <row r="86">
      <c r="A86" s="46"/>
    </row>
    <row r="87">
      <c r="A87" s="46"/>
    </row>
    <row r="88">
      <c r="A88" s="46"/>
    </row>
    <row r="89">
      <c r="A89" s="46"/>
    </row>
    <row r="90">
      <c r="A90" s="46"/>
    </row>
    <row r="91">
      <c r="A91" s="46"/>
    </row>
    <row r="92">
      <c r="A92" s="46"/>
    </row>
    <row r="93">
      <c r="A93" s="46"/>
    </row>
    <row r="94">
      <c r="A94" s="46"/>
    </row>
    <row r="95">
      <c r="A95" s="46"/>
    </row>
    <row r="96">
      <c r="A96" s="46"/>
    </row>
    <row r="97">
      <c r="A97" s="46"/>
    </row>
    <row r="98">
      <c r="A98" s="46"/>
    </row>
    <row r="99">
      <c r="A99" s="46"/>
    </row>
    <row r="100">
      <c r="A100" s="46"/>
    </row>
    <row r="101">
      <c r="A101" s="46"/>
    </row>
    <row r="102">
      <c r="A102" s="46"/>
    </row>
    <row r="103">
      <c r="A103" s="46"/>
    </row>
    <row r="104">
      <c r="A104" s="46"/>
    </row>
    <row r="105">
      <c r="A105" s="46"/>
    </row>
    <row r="106">
      <c r="A106" s="46"/>
    </row>
    <row r="107">
      <c r="A107" s="46"/>
    </row>
    <row r="108">
      <c r="A108" s="46"/>
    </row>
    <row r="109">
      <c r="A109" s="46"/>
    </row>
    <row r="110">
      <c r="A110" s="46"/>
    </row>
    <row r="111">
      <c r="A111" s="46"/>
    </row>
    <row r="112">
      <c r="A112" s="46"/>
    </row>
    <row r="113">
      <c r="A113" s="46"/>
    </row>
    <row r="114">
      <c r="A114" s="46"/>
    </row>
    <row r="115">
      <c r="A115" s="46"/>
    </row>
    <row r="116">
      <c r="A116" s="46"/>
    </row>
    <row r="117">
      <c r="A117" s="46"/>
    </row>
    <row r="118">
      <c r="A118" s="46"/>
    </row>
    <row r="119">
      <c r="A119" s="46"/>
    </row>
    <row r="120">
      <c r="A120" s="46"/>
    </row>
    <row r="121">
      <c r="A121" s="46"/>
    </row>
    <row r="122">
      <c r="A122" s="46"/>
    </row>
    <row r="123">
      <c r="A123" s="46"/>
    </row>
    <row r="124">
      <c r="A124" s="46"/>
    </row>
    <row r="125">
      <c r="A125" s="46"/>
    </row>
    <row r="126">
      <c r="A126" s="46"/>
    </row>
    <row r="127">
      <c r="A127" s="46"/>
    </row>
    <row r="128">
      <c r="A128" s="46"/>
    </row>
    <row r="129">
      <c r="A129" s="46"/>
    </row>
    <row r="130">
      <c r="A130" s="46"/>
    </row>
    <row r="131">
      <c r="A131" s="46"/>
    </row>
    <row r="132">
      <c r="A132" s="46"/>
    </row>
    <row r="133">
      <c r="A133" s="46"/>
    </row>
    <row r="134">
      <c r="A134" s="46"/>
    </row>
    <row r="135">
      <c r="A135" s="46"/>
    </row>
    <row r="136">
      <c r="A136" s="46"/>
    </row>
    <row r="137">
      <c r="A137" s="46"/>
    </row>
    <row r="138">
      <c r="A138" s="46"/>
    </row>
    <row r="139">
      <c r="A139" s="46"/>
    </row>
    <row r="140">
      <c r="A140" s="46"/>
    </row>
    <row r="141">
      <c r="A141" s="46"/>
    </row>
    <row r="142">
      <c r="A142" s="46"/>
    </row>
    <row r="143">
      <c r="A143" s="46"/>
    </row>
    <row r="144">
      <c r="A144" s="46"/>
    </row>
    <row r="145">
      <c r="A145" s="46"/>
    </row>
    <row r="146">
      <c r="A146" s="46"/>
    </row>
    <row r="147">
      <c r="A147" s="46"/>
    </row>
    <row r="148">
      <c r="A148" s="46"/>
    </row>
    <row r="149">
      <c r="A149" s="46"/>
    </row>
    <row r="150">
      <c r="A150" s="46"/>
    </row>
    <row r="151">
      <c r="A151" s="46"/>
    </row>
    <row r="152">
      <c r="A152" s="46"/>
    </row>
    <row r="153">
      <c r="A153" s="46"/>
    </row>
    <row r="154">
      <c r="A154" s="46"/>
    </row>
    <row r="155">
      <c r="A155" s="46"/>
    </row>
    <row r="156">
      <c r="A156" s="46"/>
    </row>
    <row r="157">
      <c r="A157" s="46"/>
    </row>
    <row r="158">
      <c r="A158" s="46"/>
    </row>
    <row r="159">
      <c r="A159" s="46"/>
    </row>
    <row r="160">
      <c r="A160" s="46"/>
    </row>
    <row r="161">
      <c r="A161" s="46"/>
    </row>
    <row r="162">
      <c r="A162" s="46"/>
    </row>
    <row r="163">
      <c r="A163" s="46"/>
    </row>
    <row r="164">
      <c r="A164" s="46"/>
    </row>
    <row r="165">
      <c r="A165" s="46"/>
    </row>
    <row r="166">
      <c r="A166" s="46"/>
    </row>
    <row r="167">
      <c r="A167" s="46"/>
    </row>
    <row r="168">
      <c r="A168" s="46"/>
    </row>
    <row r="169">
      <c r="A169" s="46"/>
    </row>
    <row r="170">
      <c r="A170" s="46"/>
    </row>
    <row r="171">
      <c r="A171" s="46"/>
    </row>
    <row r="172">
      <c r="A172" s="46"/>
    </row>
    <row r="173">
      <c r="A173" s="46"/>
    </row>
    <row r="174">
      <c r="A174" s="46"/>
    </row>
    <row r="175">
      <c r="A175" s="46"/>
    </row>
    <row r="176">
      <c r="A176" s="46"/>
    </row>
    <row r="177">
      <c r="A177" s="46"/>
    </row>
    <row r="178">
      <c r="A178" s="46"/>
    </row>
    <row r="179">
      <c r="A179" s="46"/>
    </row>
    <row r="180">
      <c r="A180" s="46"/>
    </row>
    <row r="181">
      <c r="A181" s="46"/>
    </row>
    <row r="182">
      <c r="A182" s="46"/>
    </row>
    <row r="183">
      <c r="A183" s="46"/>
    </row>
    <row r="184">
      <c r="A184" s="46"/>
    </row>
    <row r="185">
      <c r="A185" s="46"/>
    </row>
    <row r="186">
      <c r="A186" s="46"/>
    </row>
    <row r="187">
      <c r="A187" s="46"/>
    </row>
    <row r="188">
      <c r="A188" s="46"/>
    </row>
    <row r="189">
      <c r="A189" s="46"/>
    </row>
    <row r="190">
      <c r="A190" s="46"/>
    </row>
    <row r="191">
      <c r="A191" s="46"/>
    </row>
    <row r="192">
      <c r="A192" s="46"/>
    </row>
    <row r="193">
      <c r="A193" s="46"/>
    </row>
    <row r="194">
      <c r="A194" s="46"/>
    </row>
    <row r="195">
      <c r="A195" s="46"/>
    </row>
    <row r="196">
      <c r="A196" s="46"/>
    </row>
    <row r="197">
      <c r="A197" s="46"/>
    </row>
    <row r="198">
      <c r="A198" s="46"/>
    </row>
    <row r="199">
      <c r="A199" s="46"/>
    </row>
    <row r="200">
      <c r="A200" s="46"/>
    </row>
    <row r="201">
      <c r="A201" s="46"/>
    </row>
    <row r="202">
      <c r="A202" s="46"/>
    </row>
    <row r="203">
      <c r="A203" s="46"/>
    </row>
    <row r="204">
      <c r="A204" s="46"/>
    </row>
    <row r="205">
      <c r="A205" s="46"/>
    </row>
    <row r="206">
      <c r="A206" s="46"/>
    </row>
    <row r="207">
      <c r="A207" s="46"/>
    </row>
    <row r="208">
      <c r="A208" s="46"/>
    </row>
    <row r="209">
      <c r="A209" s="46"/>
    </row>
    <row r="210">
      <c r="A210" s="46"/>
    </row>
    <row r="211">
      <c r="A211" s="46"/>
    </row>
    <row r="212">
      <c r="A212" s="46"/>
    </row>
    <row r="213">
      <c r="A213" s="46"/>
    </row>
    <row r="214">
      <c r="A214" s="46"/>
    </row>
    <row r="215">
      <c r="A215" s="46"/>
    </row>
    <row r="216">
      <c r="A216" s="46"/>
    </row>
    <row r="217">
      <c r="A217" s="46"/>
    </row>
    <row r="218">
      <c r="A218" s="46"/>
    </row>
    <row r="219">
      <c r="A219" s="46"/>
    </row>
    <row r="220">
      <c r="A220" s="46"/>
    </row>
    <row r="221">
      <c r="A221" s="46"/>
    </row>
    <row r="222">
      <c r="A222" s="46"/>
    </row>
    <row r="223">
      <c r="A223" s="46"/>
    </row>
    <row r="224">
      <c r="A224" s="46"/>
    </row>
    <row r="225">
      <c r="A225" s="46"/>
    </row>
    <row r="226">
      <c r="A226" s="46"/>
    </row>
    <row r="227">
      <c r="A227" s="46"/>
    </row>
    <row r="228">
      <c r="A228" s="46"/>
    </row>
    <row r="229">
      <c r="A229" s="46"/>
    </row>
    <row r="230">
      <c r="A230" s="46"/>
    </row>
    <row r="231">
      <c r="A231" s="46"/>
    </row>
    <row r="232">
      <c r="A232" s="46"/>
    </row>
    <row r="233">
      <c r="A233" s="46"/>
    </row>
    <row r="234">
      <c r="A234" s="46"/>
    </row>
    <row r="235">
      <c r="A235" s="46"/>
    </row>
    <row r="236">
      <c r="A236" s="46"/>
    </row>
    <row r="237">
      <c r="A237" s="46"/>
    </row>
    <row r="238">
      <c r="A238" s="46"/>
    </row>
    <row r="239">
      <c r="A239" s="46"/>
    </row>
    <row r="240">
      <c r="A240" s="46"/>
    </row>
    <row r="241">
      <c r="A241" s="46"/>
    </row>
    <row r="242">
      <c r="A242" s="46"/>
    </row>
    <row r="243">
      <c r="A243" s="46"/>
    </row>
    <row r="244">
      <c r="A244" s="46"/>
    </row>
    <row r="245">
      <c r="A245" s="46"/>
    </row>
    <row r="246">
      <c r="A246" s="46"/>
    </row>
    <row r="247">
      <c r="A247" s="46"/>
    </row>
    <row r="248">
      <c r="A248" s="46"/>
    </row>
    <row r="249">
      <c r="A249" s="46"/>
    </row>
    <row r="250">
      <c r="A250" s="46"/>
    </row>
    <row r="251">
      <c r="A251" s="46"/>
    </row>
    <row r="252">
      <c r="A252" s="46"/>
    </row>
    <row r="253">
      <c r="A253" s="46"/>
    </row>
    <row r="254">
      <c r="A254" s="46"/>
    </row>
    <row r="255">
      <c r="A255" s="46"/>
    </row>
    <row r="256">
      <c r="A256" s="46"/>
    </row>
    <row r="257">
      <c r="A257" s="46"/>
    </row>
    <row r="258">
      <c r="A258" s="46"/>
    </row>
    <row r="259">
      <c r="A259" s="46"/>
    </row>
    <row r="260">
      <c r="A260" s="46"/>
    </row>
    <row r="261">
      <c r="A261" s="46"/>
    </row>
    <row r="262">
      <c r="A262" s="46"/>
    </row>
    <row r="263">
      <c r="A263" s="46"/>
    </row>
    <row r="264">
      <c r="A264" s="46"/>
    </row>
    <row r="265">
      <c r="A265" s="46"/>
    </row>
    <row r="266">
      <c r="A266" s="46"/>
    </row>
    <row r="267">
      <c r="A267" s="46"/>
    </row>
    <row r="268">
      <c r="A268" s="46"/>
    </row>
    <row r="269">
      <c r="A269" s="46"/>
    </row>
    <row r="270">
      <c r="A270" s="46"/>
    </row>
    <row r="271">
      <c r="A271" s="46"/>
    </row>
    <row r="272">
      <c r="A272" s="46"/>
    </row>
    <row r="273">
      <c r="A273" s="46"/>
    </row>
    <row r="274">
      <c r="A274" s="46"/>
    </row>
    <row r="275">
      <c r="A275" s="46"/>
    </row>
    <row r="276">
      <c r="A276" s="46"/>
    </row>
    <row r="277">
      <c r="A277" s="46"/>
    </row>
    <row r="278">
      <c r="A278" s="46"/>
    </row>
    <row r="279">
      <c r="A279" s="46"/>
    </row>
    <row r="280">
      <c r="A280" s="46"/>
    </row>
    <row r="281">
      <c r="A281" s="46"/>
    </row>
    <row r="282">
      <c r="A282" s="46"/>
    </row>
    <row r="283">
      <c r="A283" s="46"/>
    </row>
    <row r="284">
      <c r="A284" s="46"/>
    </row>
    <row r="285">
      <c r="A285" s="46"/>
    </row>
    <row r="286">
      <c r="A286" s="46"/>
    </row>
    <row r="287">
      <c r="A287" s="46"/>
    </row>
    <row r="288">
      <c r="A288" s="46"/>
    </row>
    <row r="289">
      <c r="A289" s="46"/>
    </row>
    <row r="290">
      <c r="A290" s="46"/>
    </row>
    <row r="291">
      <c r="A291" s="46"/>
    </row>
    <row r="292">
      <c r="A292" s="46"/>
    </row>
    <row r="293">
      <c r="A293" s="46"/>
    </row>
    <row r="294">
      <c r="A294" s="46"/>
    </row>
    <row r="295">
      <c r="A295" s="46"/>
    </row>
    <row r="296">
      <c r="A296" s="46"/>
    </row>
    <row r="297">
      <c r="A297" s="46"/>
    </row>
    <row r="298">
      <c r="A298" s="46"/>
    </row>
    <row r="299">
      <c r="A299" s="46"/>
    </row>
    <row r="300">
      <c r="A300" s="46"/>
    </row>
    <row r="301">
      <c r="A301" s="46"/>
    </row>
    <row r="302">
      <c r="A302" s="46"/>
    </row>
    <row r="303">
      <c r="A303" s="46"/>
    </row>
    <row r="304">
      <c r="A304" s="46"/>
    </row>
    <row r="305">
      <c r="A305" s="46"/>
    </row>
    <row r="306">
      <c r="A306" s="46"/>
    </row>
    <row r="307">
      <c r="A307" s="46"/>
    </row>
    <row r="308">
      <c r="A308" s="46"/>
    </row>
    <row r="309">
      <c r="A309" s="46"/>
    </row>
    <row r="310">
      <c r="A310" s="46"/>
    </row>
    <row r="311">
      <c r="A311" s="46"/>
    </row>
    <row r="312">
      <c r="A312" s="46"/>
    </row>
    <row r="313">
      <c r="A313" s="46"/>
    </row>
    <row r="314">
      <c r="A314" s="46"/>
    </row>
    <row r="315">
      <c r="A315" s="46"/>
    </row>
    <row r="316">
      <c r="A316" s="46"/>
    </row>
    <row r="317">
      <c r="A317" s="46"/>
    </row>
    <row r="318">
      <c r="A318" s="46"/>
    </row>
    <row r="319">
      <c r="A319" s="46"/>
    </row>
    <row r="320">
      <c r="A320" s="46"/>
    </row>
    <row r="321">
      <c r="A321" s="46"/>
    </row>
    <row r="322">
      <c r="A322" s="46"/>
    </row>
    <row r="323">
      <c r="A323" s="46"/>
    </row>
    <row r="324">
      <c r="A324" s="46"/>
    </row>
    <row r="325">
      <c r="A325" s="46"/>
    </row>
    <row r="326">
      <c r="A326" s="46"/>
    </row>
    <row r="327">
      <c r="A327" s="46"/>
    </row>
    <row r="328">
      <c r="A328" s="46"/>
    </row>
    <row r="329">
      <c r="A329" s="46"/>
    </row>
    <row r="330">
      <c r="A330" s="46"/>
    </row>
    <row r="331">
      <c r="A331" s="46"/>
    </row>
    <row r="332">
      <c r="A332" s="46"/>
    </row>
    <row r="333">
      <c r="A333" s="46"/>
    </row>
    <row r="334">
      <c r="A334" s="46"/>
    </row>
    <row r="335">
      <c r="A335" s="46"/>
    </row>
    <row r="336">
      <c r="A336" s="46"/>
    </row>
    <row r="337">
      <c r="A337" s="46"/>
    </row>
    <row r="338">
      <c r="A338" s="46"/>
    </row>
    <row r="339">
      <c r="A339" s="46"/>
    </row>
    <row r="340">
      <c r="A340" s="46"/>
    </row>
    <row r="341">
      <c r="A341" s="46"/>
    </row>
    <row r="342">
      <c r="A342" s="46"/>
    </row>
    <row r="343">
      <c r="A343" s="46"/>
    </row>
    <row r="344">
      <c r="A344" s="46"/>
    </row>
    <row r="345">
      <c r="A345" s="46"/>
    </row>
    <row r="346">
      <c r="A346" s="46"/>
    </row>
    <row r="347">
      <c r="A347" s="46"/>
    </row>
    <row r="348">
      <c r="A348" s="46"/>
    </row>
    <row r="349">
      <c r="A349" s="46"/>
    </row>
    <row r="350">
      <c r="A350" s="46"/>
    </row>
    <row r="351">
      <c r="A351" s="46"/>
    </row>
    <row r="352">
      <c r="A352" s="46"/>
    </row>
    <row r="353">
      <c r="A353" s="46"/>
    </row>
    <row r="354">
      <c r="A354" s="46"/>
    </row>
    <row r="355">
      <c r="A355" s="46"/>
    </row>
    <row r="356">
      <c r="A356" s="46"/>
    </row>
    <row r="357">
      <c r="A357" s="46"/>
    </row>
    <row r="358">
      <c r="A358" s="46"/>
    </row>
    <row r="359">
      <c r="A359" s="46"/>
    </row>
    <row r="360">
      <c r="A360" s="46"/>
    </row>
    <row r="361">
      <c r="A361" s="46"/>
    </row>
    <row r="362">
      <c r="A362" s="46"/>
    </row>
    <row r="363">
      <c r="A363" s="46"/>
    </row>
    <row r="364">
      <c r="A364" s="46"/>
    </row>
    <row r="365">
      <c r="A365" s="46"/>
    </row>
    <row r="366">
      <c r="A366" s="46"/>
    </row>
    <row r="367">
      <c r="A367" s="46"/>
    </row>
    <row r="368">
      <c r="A368" s="46"/>
    </row>
    <row r="369">
      <c r="A369" s="46"/>
    </row>
    <row r="370">
      <c r="A370" s="46"/>
    </row>
    <row r="371">
      <c r="A371" s="46"/>
    </row>
    <row r="372">
      <c r="A372" s="46"/>
    </row>
    <row r="373">
      <c r="A373" s="46"/>
    </row>
    <row r="374">
      <c r="A374" s="46"/>
    </row>
    <row r="375">
      <c r="A375" s="46"/>
    </row>
    <row r="376">
      <c r="A376" s="46"/>
    </row>
    <row r="377">
      <c r="A377" s="46"/>
    </row>
    <row r="378">
      <c r="A378" s="46"/>
    </row>
    <row r="379">
      <c r="A379" s="46"/>
    </row>
    <row r="380">
      <c r="A380" s="46"/>
    </row>
    <row r="381">
      <c r="A381" s="46"/>
    </row>
    <row r="382">
      <c r="A382" s="46"/>
    </row>
    <row r="383">
      <c r="A383" s="46"/>
    </row>
    <row r="384">
      <c r="A384" s="46"/>
    </row>
    <row r="385">
      <c r="A385" s="46"/>
    </row>
    <row r="386">
      <c r="A386" s="46"/>
    </row>
    <row r="387">
      <c r="A387" s="46"/>
    </row>
    <row r="388">
      <c r="A388" s="46"/>
    </row>
    <row r="389">
      <c r="A389" s="46"/>
    </row>
    <row r="390">
      <c r="A390" s="46"/>
    </row>
    <row r="391">
      <c r="A391" s="46"/>
    </row>
    <row r="392">
      <c r="A392" s="46"/>
    </row>
    <row r="393">
      <c r="A393" s="46"/>
    </row>
    <row r="394">
      <c r="A394" s="46"/>
    </row>
    <row r="395">
      <c r="A395" s="46"/>
    </row>
    <row r="396">
      <c r="A396" s="46"/>
    </row>
    <row r="397">
      <c r="A397" s="46"/>
    </row>
    <row r="398">
      <c r="A398" s="46"/>
    </row>
    <row r="399">
      <c r="A399" s="46"/>
    </row>
    <row r="400">
      <c r="A400" s="46"/>
    </row>
    <row r="401">
      <c r="A401" s="46"/>
    </row>
    <row r="402">
      <c r="A402" s="46"/>
    </row>
    <row r="403">
      <c r="A403" s="46"/>
    </row>
    <row r="404">
      <c r="A404" s="46"/>
    </row>
    <row r="405">
      <c r="A405" s="46"/>
    </row>
    <row r="406">
      <c r="A406" s="46"/>
    </row>
    <row r="407">
      <c r="A407" s="46"/>
    </row>
    <row r="408">
      <c r="A408" s="46"/>
    </row>
    <row r="409">
      <c r="A409" s="46"/>
    </row>
    <row r="410">
      <c r="A410" s="46"/>
    </row>
    <row r="411">
      <c r="A411" s="46"/>
    </row>
    <row r="412">
      <c r="A412" s="46"/>
    </row>
    <row r="413">
      <c r="A413" s="46"/>
    </row>
    <row r="414">
      <c r="A414" s="46"/>
    </row>
    <row r="415">
      <c r="A415" s="46"/>
    </row>
    <row r="416">
      <c r="A416" s="46"/>
    </row>
    <row r="417">
      <c r="A417" s="46"/>
    </row>
    <row r="418">
      <c r="A418" s="46"/>
    </row>
    <row r="419">
      <c r="A419" s="46"/>
    </row>
    <row r="420">
      <c r="A420" s="46"/>
    </row>
    <row r="421">
      <c r="A421" s="46"/>
    </row>
    <row r="422">
      <c r="A422" s="46"/>
    </row>
    <row r="423">
      <c r="A423" s="46"/>
    </row>
    <row r="424">
      <c r="A424" s="46"/>
    </row>
    <row r="425">
      <c r="A425" s="46"/>
    </row>
    <row r="426">
      <c r="A426" s="46"/>
    </row>
    <row r="427">
      <c r="A427" s="46"/>
    </row>
    <row r="428">
      <c r="A428" s="46"/>
    </row>
    <row r="429">
      <c r="A429" s="46"/>
    </row>
    <row r="430">
      <c r="A430" s="46"/>
    </row>
    <row r="431">
      <c r="A431" s="46"/>
    </row>
    <row r="432">
      <c r="A432" s="46"/>
    </row>
    <row r="433">
      <c r="A433" s="46"/>
    </row>
    <row r="434">
      <c r="A434" s="46"/>
    </row>
    <row r="435">
      <c r="A435" s="46"/>
    </row>
    <row r="436">
      <c r="A436" s="46"/>
    </row>
    <row r="437">
      <c r="A437" s="46"/>
    </row>
    <row r="438">
      <c r="A438" s="46"/>
    </row>
    <row r="439">
      <c r="A439" s="46"/>
    </row>
    <row r="440">
      <c r="A440" s="46"/>
    </row>
    <row r="441">
      <c r="A441" s="46"/>
    </row>
    <row r="442">
      <c r="A442" s="46"/>
    </row>
    <row r="443">
      <c r="A443" s="46"/>
    </row>
    <row r="444">
      <c r="A444" s="46"/>
    </row>
    <row r="445">
      <c r="A445" s="46"/>
    </row>
    <row r="446">
      <c r="A446" s="46"/>
    </row>
    <row r="447">
      <c r="A447" s="46"/>
    </row>
    <row r="448">
      <c r="A448" s="46"/>
    </row>
    <row r="449">
      <c r="A449" s="46"/>
    </row>
    <row r="450">
      <c r="A450" s="46"/>
    </row>
    <row r="451">
      <c r="A451" s="46"/>
    </row>
    <row r="452">
      <c r="A452" s="46"/>
    </row>
    <row r="453">
      <c r="A453" s="46"/>
    </row>
    <row r="454">
      <c r="A454" s="46"/>
    </row>
    <row r="455">
      <c r="A455" s="46"/>
    </row>
    <row r="456">
      <c r="A456" s="46"/>
    </row>
    <row r="457">
      <c r="A457" s="46"/>
    </row>
    <row r="458">
      <c r="A458" s="46"/>
    </row>
    <row r="459">
      <c r="A459" s="46"/>
    </row>
    <row r="460">
      <c r="A460" s="46"/>
    </row>
    <row r="461">
      <c r="A461" s="46"/>
    </row>
    <row r="462">
      <c r="A462" s="46"/>
    </row>
    <row r="463">
      <c r="A463" s="46"/>
    </row>
    <row r="464">
      <c r="A464" s="46"/>
    </row>
    <row r="465">
      <c r="A465" s="46"/>
    </row>
    <row r="466">
      <c r="A466" s="46"/>
    </row>
    <row r="467">
      <c r="A467" s="46"/>
    </row>
    <row r="468">
      <c r="A468" s="46"/>
    </row>
    <row r="469">
      <c r="A469" s="46"/>
    </row>
    <row r="470">
      <c r="A470" s="46"/>
    </row>
    <row r="471">
      <c r="A471" s="46"/>
    </row>
    <row r="472">
      <c r="A472" s="46"/>
    </row>
    <row r="473">
      <c r="A473" s="46"/>
    </row>
    <row r="474">
      <c r="A474" s="46"/>
    </row>
    <row r="475">
      <c r="A475" s="46"/>
    </row>
    <row r="476">
      <c r="A476" s="46"/>
    </row>
    <row r="477">
      <c r="A477" s="46"/>
    </row>
    <row r="478">
      <c r="A478" s="46"/>
    </row>
    <row r="479">
      <c r="A479" s="46"/>
    </row>
    <row r="480">
      <c r="A480" s="46"/>
    </row>
    <row r="481">
      <c r="A481" s="46"/>
    </row>
    <row r="482">
      <c r="A482" s="46"/>
    </row>
    <row r="483">
      <c r="A483" s="46"/>
    </row>
    <row r="484">
      <c r="A484" s="46"/>
    </row>
    <row r="485">
      <c r="A485" s="46"/>
    </row>
    <row r="486">
      <c r="A486" s="46"/>
    </row>
    <row r="487">
      <c r="A487" s="46"/>
    </row>
    <row r="488">
      <c r="A488" s="46"/>
    </row>
    <row r="489">
      <c r="A489" s="46"/>
    </row>
    <row r="490">
      <c r="A490" s="46"/>
    </row>
    <row r="491">
      <c r="A491" s="46"/>
    </row>
    <row r="492">
      <c r="A492" s="46"/>
    </row>
    <row r="493">
      <c r="A493" s="46"/>
    </row>
    <row r="494">
      <c r="A494" s="46"/>
    </row>
    <row r="495">
      <c r="A495" s="46"/>
    </row>
    <row r="496">
      <c r="A496" s="46"/>
    </row>
    <row r="497">
      <c r="A497" s="46"/>
    </row>
    <row r="498">
      <c r="A498" s="46"/>
    </row>
    <row r="499">
      <c r="A499" s="46"/>
    </row>
    <row r="500">
      <c r="A500" s="46"/>
    </row>
    <row r="501">
      <c r="A501" s="46"/>
    </row>
    <row r="502">
      <c r="A502" s="46"/>
    </row>
    <row r="503">
      <c r="A503" s="46"/>
    </row>
    <row r="504">
      <c r="A504" s="46"/>
    </row>
    <row r="505">
      <c r="A505" s="46"/>
    </row>
    <row r="506">
      <c r="A506" s="46"/>
    </row>
    <row r="507">
      <c r="A507" s="46"/>
    </row>
    <row r="508">
      <c r="A508" s="46"/>
    </row>
    <row r="509">
      <c r="A509" s="46"/>
    </row>
    <row r="510">
      <c r="A510" s="46"/>
    </row>
    <row r="511">
      <c r="A511" s="46"/>
    </row>
    <row r="512">
      <c r="A512" s="46"/>
    </row>
    <row r="513">
      <c r="A513" s="46"/>
    </row>
    <row r="514">
      <c r="A514" s="46"/>
    </row>
    <row r="515">
      <c r="A515" s="46"/>
    </row>
    <row r="516">
      <c r="A516" s="46"/>
    </row>
    <row r="517">
      <c r="A517" s="46"/>
    </row>
    <row r="518">
      <c r="A518" s="46"/>
    </row>
    <row r="519">
      <c r="A519" s="46"/>
    </row>
    <row r="520">
      <c r="A520" s="46"/>
    </row>
    <row r="521">
      <c r="A521" s="46"/>
    </row>
    <row r="522">
      <c r="A522" s="46"/>
    </row>
    <row r="523">
      <c r="A523" s="46"/>
    </row>
    <row r="524">
      <c r="A524" s="46"/>
    </row>
    <row r="525">
      <c r="A525" s="46"/>
    </row>
    <row r="526">
      <c r="A526" s="46"/>
    </row>
    <row r="527">
      <c r="A527" s="46"/>
    </row>
    <row r="528">
      <c r="A528" s="46"/>
    </row>
    <row r="529">
      <c r="A529" s="46"/>
    </row>
    <row r="530">
      <c r="A530" s="46"/>
    </row>
    <row r="531">
      <c r="A531" s="46"/>
    </row>
    <row r="532">
      <c r="A532" s="46"/>
    </row>
    <row r="533">
      <c r="A533" s="46"/>
    </row>
    <row r="534">
      <c r="A534" s="46"/>
    </row>
    <row r="535">
      <c r="A535" s="46"/>
    </row>
    <row r="536">
      <c r="A536" s="46"/>
    </row>
    <row r="537">
      <c r="A537" s="46"/>
    </row>
    <row r="538">
      <c r="A538" s="46"/>
    </row>
    <row r="539">
      <c r="A539" s="46"/>
    </row>
    <row r="540">
      <c r="A540" s="46"/>
    </row>
    <row r="541">
      <c r="A541" s="46"/>
    </row>
    <row r="542">
      <c r="A542" s="46"/>
    </row>
    <row r="543">
      <c r="A543" s="46"/>
    </row>
    <row r="544">
      <c r="A544" s="46"/>
    </row>
    <row r="545">
      <c r="A545" s="46"/>
    </row>
    <row r="546">
      <c r="A546" s="46"/>
    </row>
    <row r="547">
      <c r="A547" s="46"/>
    </row>
    <row r="548">
      <c r="A548" s="46"/>
    </row>
    <row r="549">
      <c r="A549" s="46"/>
    </row>
    <row r="550">
      <c r="A550" s="46"/>
    </row>
    <row r="551">
      <c r="A551" s="46"/>
    </row>
    <row r="552">
      <c r="A552" s="46"/>
    </row>
    <row r="553">
      <c r="A553" s="46"/>
    </row>
    <row r="554">
      <c r="A554" s="46"/>
    </row>
    <row r="555">
      <c r="A555" s="46"/>
    </row>
    <row r="556">
      <c r="A556" s="46"/>
    </row>
    <row r="557">
      <c r="A557" s="46"/>
    </row>
    <row r="558">
      <c r="A558" s="46"/>
    </row>
    <row r="559">
      <c r="A559" s="46"/>
    </row>
    <row r="560">
      <c r="A560" s="46"/>
    </row>
    <row r="561">
      <c r="A561" s="46"/>
    </row>
    <row r="562">
      <c r="A562" s="46"/>
    </row>
    <row r="563">
      <c r="A563" s="46"/>
    </row>
    <row r="564">
      <c r="A564" s="46"/>
    </row>
    <row r="565">
      <c r="A565" s="46"/>
    </row>
    <row r="566">
      <c r="A566" s="46"/>
    </row>
    <row r="567">
      <c r="A567" s="46"/>
    </row>
    <row r="568">
      <c r="A568" s="46"/>
    </row>
    <row r="569">
      <c r="A569" s="46"/>
    </row>
    <row r="570">
      <c r="A570" s="46"/>
    </row>
    <row r="571">
      <c r="A571" s="46"/>
    </row>
    <row r="572">
      <c r="A572" s="46"/>
    </row>
    <row r="573">
      <c r="A573" s="46"/>
    </row>
    <row r="574">
      <c r="A574" s="46"/>
    </row>
    <row r="575">
      <c r="A575" s="46"/>
    </row>
    <row r="576">
      <c r="A576" s="46"/>
    </row>
    <row r="577">
      <c r="A577" s="46"/>
    </row>
    <row r="578">
      <c r="A578" s="46"/>
    </row>
    <row r="579">
      <c r="A579" s="46"/>
    </row>
    <row r="580">
      <c r="A580" s="46"/>
    </row>
    <row r="581">
      <c r="A581" s="46"/>
    </row>
    <row r="582">
      <c r="A582" s="46"/>
    </row>
    <row r="583">
      <c r="A583" s="46"/>
    </row>
    <row r="584">
      <c r="A584" s="46"/>
    </row>
    <row r="585">
      <c r="A585" s="46"/>
    </row>
    <row r="586">
      <c r="A586" s="46"/>
    </row>
    <row r="587">
      <c r="A587" s="46"/>
    </row>
    <row r="588">
      <c r="A588" s="46"/>
    </row>
    <row r="589">
      <c r="A589" s="46"/>
    </row>
    <row r="590">
      <c r="A590" s="46"/>
    </row>
    <row r="591">
      <c r="A591" s="46"/>
    </row>
    <row r="592">
      <c r="A592" s="46"/>
    </row>
    <row r="593">
      <c r="A593" s="46"/>
    </row>
    <row r="594">
      <c r="A594" s="46"/>
    </row>
    <row r="595">
      <c r="A595" s="46"/>
    </row>
    <row r="596">
      <c r="A596" s="46"/>
    </row>
    <row r="597">
      <c r="A597" s="46"/>
    </row>
    <row r="598">
      <c r="A598" s="46"/>
    </row>
    <row r="599">
      <c r="A599" s="46"/>
    </row>
    <row r="600">
      <c r="A600" s="46"/>
    </row>
    <row r="601">
      <c r="A601" s="46"/>
    </row>
    <row r="602">
      <c r="A602" s="46"/>
    </row>
    <row r="603">
      <c r="A603" s="46"/>
    </row>
    <row r="604">
      <c r="A604" s="46"/>
    </row>
    <row r="605">
      <c r="A605" s="46"/>
    </row>
    <row r="606">
      <c r="A606" s="46"/>
    </row>
    <row r="607">
      <c r="A607" s="46"/>
    </row>
    <row r="608">
      <c r="A608" s="46"/>
    </row>
    <row r="609">
      <c r="A609" s="46"/>
    </row>
    <row r="610">
      <c r="A610" s="46"/>
    </row>
    <row r="611">
      <c r="A611" s="46"/>
    </row>
    <row r="612">
      <c r="A612" s="46"/>
    </row>
    <row r="613">
      <c r="A613" s="46"/>
    </row>
    <row r="614">
      <c r="A614" s="46"/>
    </row>
    <row r="615">
      <c r="A615" s="46"/>
    </row>
    <row r="616">
      <c r="A616" s="46"/>
    </row>
    <row r="617">
      <c r="A617" s="46"/>
    </row>
    <row r="618">
      <c r="A618" s="46"/>
    </row>
    <row r="619">
      <c r="A619" s="46"/>
    </row>
    <row r="620">
      <c r="A620" s="46"/>
    </row>
    <row r="621">
      <c r="A621" s="46"/>
    </row>
    <row r="622">
      <c r="A622" s="46"/>
    </row>
    <row r="623">
      <c r="A623" s="46"/>
    </row>
    <row r="624">
      <c r="A624" s="46"/>
    </row>
    <row r="625">
      <c r="A625" s="46"/>
    </row>
    <row r="626">
      <c r="A626" s="46"/>
    </row>
    <row r="627">
      <c r="A627" s="46"/>
    </row>
    <row r="628">
      <c r="A628" s="46"/>
    </row>
    <row r="629">
      <c r="A629" s="46"/>
    </row>
    <row r="630">
      <c r="A630" s="46"/>
    </row>
    <row r="631">
      <c r="A631" s="46"/>
    </row>
    <row r="632">
      <c r="A632" s="46"/>
    </row>
    <row r="633">
      <c r="A633" s="46"/>
    </row>
    <row r="634">
      <c r="A634" s="46"/>
    </row>
    <row r="635">
      <c r="A635" s="46"/>
    </row>
    <row r="636">
      <c r="A636" s="46"/>
    </row>
    <row r="637">
      <c r="A637" s="46"/>
    </row>
    <row r="638">
      <c r="A638" s="46"/>
    </row>
    <row r="639">
      <c r="A639" s="46"/>
    </row>
    <row r="640">
      <c r="A640" s="46"/>
    </row>
    <row r="641">
      <c r="A641" s="46"/>
    </row>
    <row r="642">
      <c r="A642" s="46"/>
    </row>
    <row r="643">
      <c r="A643" s="46"/>
    </row>
    <row r="644">
      <c r="A644" s="46"/>
    </row>
    <row r="645">
      <c r="A645" s="46"/>
    </row>
    <row r="646">
      <c r="A646" s="46"/>
    </row>
    <row r="647">
      <c r="A647" s="46"/>
    </row>
    <row r="648">
      <c r="A648" s="46"/>
    </row>
    <row r="649">
      <c r="A649" s="46"/>
    </row>
    <row r="650">
      <c r="A650" s="46"/>
    </row>
    <row r="651">
      <c r="A651" s="46"/>
    </row>
    <row r="652">
      <c r="A652" s="46"/>
    </row>
    <row r="653">
      <c r="A653" s="46"/>
    </row>
    <row r="654">
      <c r="A654" s="46"/>
    </row>
    <row r="655">
      <c r="A655" s="46"/>
    </row>
    <row r="656">
      <c r="A656" s="46"/>
    </row>
    <row r="657">
      <c r="A657" s="46"/>
    </row>
    <row r="658">
      <c r="A658" s="46"/>
    </row>
    <row r="659">
      <c r="A659" s="46"/>
    </row>
    <row r="660">
      <c r="A660" s="46"/>
    </row>
    <row r="661">
      <c r="A661" s="46"/>
    </row>
    <row r="662">
      <c r="A662" s="46"/>
    </row>
    <row r="663">
      <c r="A663" s="46"/>
    </row>
    <row r="664">
      <c r="A664" s="46"/>
    </row>
    <row r="665">
      <c r="A665" s="46"/>
    </row>
    <row r="666">
      <c r="A666" s="46"/>
    </row>
    <row r="667">
      <c r="A667" s="46"/>
    </row>
    <row r="668">
      <c r="A668" s="46"/>
    </row>
    <row r="669">
      <c r="A669" s="46"/>
    </row>
    <row r="670">
      <c r="A670" s="46"/>
    </row>
    <row r="671">
      <c r="A671" s="46"/>
    </row>
    <row r="672">
      <c r="A672" s="46"/>
    </row>
    <row r="673">
      <c r="A673" s="46"/>
    </row>
    <row r="674">
      <c r="A674" s="46"/>
    </row>
    <row r="675">
      <c r="A675" s="46"/>
    </row>
    <row r="676">
      <c r="A676" s="46"/>
    </row>
    <row r="677">
      <c r="A677" s="46"/>
    </row>
    <row r="678">
      <c r="A678" s="46"/>
    </row>
    <row r="679">
      <c r="A679" s="46"/>
    </row>
    <row r="680">
      <c r="A680" s="46"/>
    </row>
    <row r="681">
      <c r="A681" s="46"/>
    </row>
    <row r="682">
      <c r="A682" s="46"/>
    </row>
    <row r="683">
      <c r="A683" s="46"/>
    </row>
    <row r="684">
      <c r="A684" s="46"/>
    </row>
    <row r="685">
      <c r="A685" s="46"/>
    </row>
    <row r="686">
      <c r="A686" s="46"/>
    </row>
    <row r="687">
      <c r="A687" s="46"/>
    </row>
    <row r="688">
      <c r="A688" s="46"/>
    </row>
    <row r="689">
      <c r="A689" s="46"/>
    </row>
    <row r="690">
      <c r="A690" s="46"/>
    </row>
    <row r="691">
      <c r="A691" s="46"/>
    </row>
    <row r="692">
      <c r="A692" s="46"/>
    </row>
    <row r="693">
      <c r="A693" s="46"/>
    </row>
    <row r="694">
      <c r="A694" s="46"/>
    </row>
    <row r="695">
      <c r="A695" s="46"/>
    </row>
    <row r="696">
      <c r="A696" s="46"/>
    </row>
    <row r="697">
      <c r="A697" s="46"/>
    </row>
    <row r="698">
      <c r="A698" s="46"/>
    </row>
    <row r="699">
      <c r="A699" s="46"/>
    </row>
    <row r="700">
      <c r="A700" s="46"/>
    </row>
    <row r="701">
      <c r="A701" s="46"/>
    </row>
    <row r="702">
      <c r="A702" s="46"/>
    </row>
    <row r="703">
      <c r="A703" s="46"/>
    </row>
    <row r="704">
      <c r="A704" s="46"/>
    </row>
    <row r="705">
      <c r="A705" s="46"/>
    </row>
    <row r="706">
      <c r="A706" s="46"/>
    </row>
    <row r="707">
      <c r="A707" s="46"/>
    </row>
    <row r="708">
      <c r="A708" s="46"/>
    </row>
    <row r="709">
      <c r="A709" s="46"/>
    </row>
    <row r="710">
      <c r="A710" s="46"/>
    </row>
    <row r="711">
      <c r="A711" s="46"/>
    </row>
    <row r="712">
      <c r="A712" s="46"/>
    </row>
    <row r="713">
      <c r="A713" s="46"/>
    </row>
    <row r="714">
      <c r="A714" s="46"/>
    </row>
    <row r="715">
      <c r="A715" s="46"/>
    </row>
    <row r="716">
      <c r="A716" s="46"/>
    </row>
    <row r="717">
      <c r="A717" s="46"/>
    </row>
    <row r="718">
      <c r="A718" s="46"/>
    </row>
    <row r="719">
      <c r="A719" s="46"/>
    </row>
    <row r="720">
      <c r="A720" s="46"/>
    </row>
    <row r="721">
      <c r="A721" s="46"/>
    </row>
    <row r="722">
      <c r="A722" s="46"/>
    </row>
    <row r="723">
      <c r="A723" s="46"/>
    </row>
    <row r="724">
      <c r="A724" s="46"/>
    </row>
    <row r="725">
      <c r="A725" s="46"/>
    </row>
    <row r="726">
      <c r="A726" s="46"/>
    </row>
    <row r="727">
      <c r="A727" s="46"/>
    </row>
    <row r="728">
      <c r="A728" s="46"/>
    </row>
    <row r="729">
      <c r="A729" s="46"/>
    </row>
    <row r="730">
      <c r="A730" s="46"/>
    </row>
    <row r="731">
      <c r="A731" s="46"/>
    </row>
    <row r="732">
      <c r="A732" s="46"/>
    </row>
    <row r="733">
      <c r="A733" s="46"/>
    </row>
    <row r="734">
      <c r="A734" s="46"/>
    </row>
    <row r="735">
      <c r="A735" s="46"/>
    </row>
    <row r="736">
      <c r="A736" s="46"/>
    </row>
    <row r="737">
      <c r="A737" s="46"/>
    </row>
    <row r="738">
      <c r="A738" s="46"/>
    </row>
    <row r="739">
      <c r="A739" s="46"/>
    </row>
    <row r="740">
      <c r="A740" s="46"/>
    </row>
    <row r="741">
      <c r="A741" s="46"/>
    </row>
    <row r="742">
      <c r="A742" s="46"/>
    </row>
    <row r="743">
      <c r="A743" s="46"/>
    </row>
    <row r="744">
      <c r="A744" s="46"/>
    </row>
    <row r="745">
      <c r="A745" s="46"/>
    </row>
    <row r="746">
      <c r="A746" s="46"/>
    </row>
    <row r="747">
      <c r="A747" s="46"/>
    </row>
    <row r="748">
      <c r="A748" s="46"/>
    </row>
    <row r="749">
      <c r="A749" s="46"/>
    </row>
    <row r="750">
      <c r="A750" s="46"/>
    </row>
    <row r="751">
      <c r="A751" s="46"/>
    </row>
    <row r="752">
      <c r="A752" s="46"/>
    </row>
    <row r="753">
      <c r="A753" s="46"/>
    </row>
    <row r="754">
      <c r="A754" s="46"/>
    </row>
    <row r="755">
      <c r="A755" s="46"/>
    </row>
    <row r="756">
      <c r="A756" s="46"/>
    </row>
    <row r="757">
      <c r="A757" s="46"/>
    </row>
    <row r="758">
      <c r="A758" s="46"/>
    </row>
    <row r="759">
      <c r="A759" s="46"/>
    </row>
    <row r="760">
      <c r="A760" s="46"/>
    </row>
    <row r="761">
      <c r="A761" s="46"/>
    </row>
    <row r="762">
      <c r="A762" s="46"/>
    </row>
    <row r="763">
      <c r="A763" s="46"/>
    </row>
    <row r="764">
      <c r="A764" s="46"/>
    </row>
    <row r="765">
      <c r="A765" s="46"/>
    </row>
    <row r="766">
      <c r="A766" s="46"/>
    </row>
    <row r="767">
      <c r="A767" s="46"/>
    </row>
    <row r="768">
      <c r="A768" s="46"/>
    </row>
    <row r="769">
      <c r="A769" s="46"/>
    </row>
    <row r="770">
      <c r="A770" s="46"/>
    </row>
    <row r="771">
      <c r="A771" s="46"/>
    </row>
    <row r="772">
      <c r="A772" s="46"/>
    </row>
    <row r="773">
      <c r="A773" s="46"/>
    </row>
    <row r="774">
      <c r="A774" s="46"/>
    </row>
    <row r="775">
      <c r="A775" s="46"/>
    </row>
    <row r="776">
      <c r="A776" s="46"/>
    </row>
    <row r="777">
      <c r="A777" s="46"/>
    </row>
    <row r="778">
      <c r="A778" s="46"/>
    </row>
    <row r="779">
      <c r="A779" s="46"/>
    </row>
    <row r="780">
      <c r="A780" s="46"/>
    </row>
    <row r="781">
      <c r="A781" s="46"/>
    </row>
    <row r="782">
      <c r="A782" s="46"/>
    </row>
    <row r="783">
      <c r="A783" s="46"/>
    </row>
    <row r="784">
      <c r="A784" s="46"/>
    </row>
    <row r="785">
      <c r="A785" s="46"/>
    </row>
    <row r="786">
      <c r="A786" s="46"/>
    </row>
    <row r="787">
      <c r="A787" s="46"/>
    </row>
    <row r="788">
      <c r="A788" s="46"/>
    </row>
    <row r="789">
      <c r="A789" s="46"/>
    </row>
    <row r="790">
      <c r="A790" s="46"/>
    </row>
    <row r="791">
      <c r="A791" s="46"/>
    </row>
    <row r="792">
      <c r="A792" s="46"/>
    </row>
    <row r="793">
      <c r="A793" s="46"/>
    </row>
    <row r="794">
      <c r="A794" s="46"/>
    </row>
    <row r="795">
      <c r="A795" s="46"/>
    </row>
    <row r="796">
      <c r="A796" s="46"/>
    </row>
    <row r="797">
      <c r="A797" s="46"/>
    </row>
    <row r="798">
      <c r="A798" s="46"/>
    </row>
    <row r="799">
      <c r="A799" s="46"/>
    </row>
    <row r="800">
      <c r="A800" s="46"/>
    </row>
    <row r="801">
      <c r="A801" s="46"/>
    </row>
    <row r="802">
      <c r="A802" s="46"/>
    </row>
    <row r="803">
      <c r="A803" s="46"/>
    </row>
    <row r="804">
      <c r="A804" s="46"/>
    </row>
    <row r="805">
      <c r="A805" s="46"/>
    </row>
    <row r="806">
      <c r="A806" s="46"/>
    </row>
    <row r="807">
      <c r="A807" s="46"/>
    </row>
    <row r="808">
      <c r="A808" s="46"/>
    </row>
    <row r="809">
      <c r="A809" s="46"/>
    </row>
    <row r="810">
      <c r="A810" s="46"/>
    </row>
    <row r="811">
      <c r="A811" s="46"/>
    </row>
    <row r="812">
      <c r="A812" s="46"/>
    </row>
    <row r="813">
      <c r="A813" s="46"/>
    </row>
    <row r="814">
      <c r="A814" s="46"/>
    </row>
    <row r="815">
      <c r="A815" s="46"/>
    </row>
    <row r="816">
      <c r="A816" s="46"/>
    </row>
    <row r="817">
      <c r="A817" s="46"/>
    </row>
    <row r="818">
      <c r="A818" s="46"/>
    </row>
    <row r="819">
      <c r="A819" s="46"/>
    </row>
    <row r="820">
      <c r="A820" s="46"/>
    </row>
    <row r="821">
      <c r="A821" s="46"/>
    </row>
    <row r="822">
      <c r="A822" s="46"/>
    </row>
    <row r="823">
      <c r="A823" s="46"/>
    </row>
    <row r="824">
      <c r="A824" s="46"/>
    </row>
    <row r="825">
      <c r="A825" s="46"/>
    </row>
    <row r="826">
      <c r="A826" s="46"/>
    </row>
    <row r="827">
      <c r="A827" s="46"/>
    </row>
    <row r="828">
      <c r="A828" s="46"/>
    </row>
    <row r="829">
      <c r="A829" s="46"/>
    </row>
    <row r="830">
      <c r="A830" s="46"/>
    </row>
    <row r="831">
      <c r="A831" s="46"/>
    </row>
    <row r="832">
      <c r="A832" s="46"/>
    </row>
    <row r="833">
      <c r="A833" s="46"/>
    </row>
    <row r="834">
      <c r="A834" s="46"/>
    </row>
    <row r="835">
      <c r="A835" s="46"/>
    </row>
    <row r="836">
      <c r="A836" s="46"/>
    </row>
    <row r="837">
      <c r="A837" s="46"/>
    </row>
    <row r="838">
      <c r="A838" s="46"/>
    </row>
    <row r="839">
      <c r="A839" s="46"/>
    </row>
    <row r="840">
      <c r="A840" s="46"/>
    </row>
    <row r="841">
      <c r="A841" s="46"/>
    </row>
    <row r="842">
      <c r="A842" s="46"/>
    </row>
    <row r="843">
      <c r="A843" s="46"/>
    </row>
    <row r="844">
      <c r="A844" s="46"/>
    </row>
    <row r="845">
      <c r="A845" s="46"/>
    </row>
    <row r="846">
      <c r="A846" s="46"/>
    </row>
    <row r="847">
      <c r="A847" s="46"/>
    </row>
    <row r="848">
      <c r="A848" s="46"/>
    </row>
    <row r="849">
      <c r="A849" s="46"/>
    </row>
    <row r="850">
      <c r="A850" s="46"/>
    </row>
    <row r="851">
      <c r="A851" s="46"/>
    </row>
    <row r="852">
      <c r="A852" s="46"/>
    </row>
    <row r="853">
      <c r="A853" s="46"/>
    </row>
    <row r="854">
      <c r="A854" s="46"/>
    </row>
    <row r="855">
      <c r="A855" s="46"/>
    </row>
    <row r="856">
      <c r="A856" s="46"/>
    </row>
    <row r="857">
      <c r="A857" s="46"/>
    </row>
    <row r="858">
      <c r="A858" s="46"/>
    </row>
    <row r="859">
      <c r="A859" s="46"/>
    </row>
    <row r="860">
      <c r="A860" s="46"/>
    </row>
    <row r="861">
      <c r="A861" s="46"/>
    </row>
    <row r="862">
      <c r="A862" s="46"/>
    </row>
    <row r="863">
      <c r="A863" s="46"/>
    </row>
    <row r="864">
      <c r="A864" s="46"/>
    </row>
    <row r="865">
      <c r="A865" s="46"/>
    </row>
    <row r="866">
      <c r="A866" s="46"/>
    </row>
    <row r="867">
      <c r="A867" s="46"/>
    </row>
    <row r="868">
      <c r="A868" s="46"/>
    </row>
    <row r="869">
      <c r="A869" s="46"/>
    </row>
    <row r="870">
      <c r="A870" s="46"/>
    </row>
    <row r="871">
      <c r="A871" s="46"/>
    </row>
    <row r="872">
      <c r="A872" s="46"/>
    </row>
    <row r="873">
      <c r="A873" s="46"/>
    </row>
    <row r="874">
      <c r="A874" s="46"/>
    </row>
    <row r="875">
      <c r="A875" s="46"/>
    </row>
    <row r="876">
      <c r="A876" s="46"/>
    </row>
    <row r="877">
      <c r="A877" s="46"/>
    </row>
    <row r="878">
      <c r="A878" s="46"/>
    </row>
    <row r="879">
      <c r="A879" s="46"/>
    </row>
    <row r="880">
      <c r="A880" s="46"/>
    </row>
    <row r="881">
      <c r="A881" s="46"/>
    </row>
    <row r="882">
      <c r="A882" s="46"/>
    </row>
    <row r="883">
      <c r="A883" s="46"/>
    </row>
    <row r="884">
      <c r="A884" s="46"/>
    </row>
    <row r="885">
      <c r="A885" s="46"/>
    </row>
    <row r="886">
      <c r="A886" s="46"/>
    </row>
    <row r="887">
      <c r="A887" s="46"/>
    </row>
    <row r="888">
      <c r="A888" s="46"/>
    </row>
    <row r="889">
      <c r="A889" s="46"/>
    </row>
    <row r="890">
      <c r="A890" s="46"/>
    </row>
    <row r="891">
      <c r="A891" s="46"/>
    </row>
    <row r="892">
      <c r="A892" s="46"/>
    </row>
    <row r="893">
      <c r="A893" s="46"/>
    </row>
    <row r="894">
      <c r="A894" s="46"/>
    </row>
    <row r="895">
      <c r="A895" s="46"/>
    </row>
    <row r="896">
      <c r="A896" s="46"/>
    </row>
    <row r="897">
      <c r="A897" s="46"/>
    </row>
    <row r="898">
      <c r="A898" s="46"/>
    </row>
    <row r="899">
      <c r="A899" s="46"/>
    </row>
    <row r="900">
      <c r="A900" s="46"/>
    </row>
    <row r="901">
      <c r="A901" s="46"/>
    </row>
    <row r="902">
      <c r="A902" s="46"/>
    </row>
    <row r="903">
      <c r="A903" s="46"/>
    </row>
    <row r="904">
      <c r="A904" s="46"/>
    </row>
    <row r="905">
      <c r="A905" s="46"/>
    </row>
    <row r="906">
      <c r="A906" s="46"/>
    </row>
    <row r="907">
      <c r="A907" s="46"/>
    </row>
    <row r="908">
      <c r="A908" s="46"/>
    </row>
    <row r="909">
      <c r="A909" s="46"/>
    </row>
    <row r="910">
      <c r="A910" s="46"/>
    </row>
    <row r="911">
      <c r="A911" s="46"/>
    </row>
    <row r="912">
      <c r="A912" s="46"/>
    </row>
    <row r="913">
      <c r="A913" s="46"/>
    </row>
    <row r="914">
      <c r="A914" s="46"/>
    </row>
    <row r="915">
      <c r="A915" s="46"/>
    </row>
    <row r="916">
      <c r="A916" s="46"/>
    </row>
    <row r="917">
      <c r="A917" s="46"/>
    </row>
    <row r="918">
      <c r="A918" s="46"/>
    </row>
    <row r="919">
      <c r="A919" s="46"/>
    </row>
    <row r="920">
      <c r="A920" s="46"/>
    </row>
    <row r="921">
      <c r="A921" s="46"/>
    </row>
    <row r="922">
      <c r="A922" s="46"/>
    </row>
    <row r="923">
      <c r="A923" s="46"/>
    </row>
    <row r="924">
      <c r="A924" s="46"/>
    </row>
    <row r="925">
      <c r="A925" s="46"/>
    </row>
    <row r="926">
      <c r="A926" s="46"/>
    </row>
    <row r="927">
      <c r="A927" s="46"/>
    </row>
    <row r="928">
      <c r="A928" s="46"/>
    </row>
    <row r="929">
      <c r="A929" s="46"/>
    </row>
    <row r="930">
      <c r="A930" s="46"/>
    </row>
    <row r="931">
      <c r="A931" s="46"/>
    </row>
    <row r="932">
      <c r="A932" s="46"/>
    </row>
    <row r="933">
      <c r="A933" s="46"/>
    </row>
    <row r="934">
      <c r="A934" s="46"/>
    </row>
    <row r="935">
      <c r="A935" s="46"/>
    </row>
    <row r="936">
      <c r="A936" s="46"/>
    </row>
    <row r="937">
      <c r="A937" s="46"/>
    </row>
    <row r="938">
      <c r="A938" s="46"/>
    </row>
    <row r="939">
      <c r="A939" s="46"/>
    </row>
    <row r="940">
      <c r="A940" s="46"/>
    </row>
    <row r="941">
      <c r="A941" s="46"/>
    </row>
    <row r="942">
      <c r="A942" s="46"/>
    </row>
    <row r="943">
      <c r="A943" s="46"/>
    </row>
    <row r="944">
      <c r="A944" s="46"/>
    </row>
    <row r="945">
      <c r="A945" s="46"/>
    </row>
    <row r="946">
      <c r="A946" s="46"/>
    </row>
    <row r="947">
      <c r="A947" s="46"/>
    </row>
    <row r="948">
      <c r="A948" s="46"/>
    </row>
    <row r="949">
      <c r="A949" s="46"/>
    </row>
    <row r="950">
      <c r="A950" s="46"/>
    </row>
    <row r="951">
      <c r="A951" s="46"/>
    </row>
    <row r="952">
      <c r="A952" s="46"/>
    </row>
    <row r="953">
      <c r="A953" s="46"/>
    </row>
    <row r="954">
      <c r="A954" s="46"/>
    </row>
    <row r="955">
      <c r="A955" s="46"/>
    </row>
    <row r="956">
      <c r="A956" s="46"/>
    </row>
    <row r="957">
      <c r="A957" s="46"/>
    </row>
    <row r="958">
      <c r="A958" s="46"/>
    </row>
    <row r="959">
      <c r="A959" s="46"/>
    </row>
    <row r="960">
      <c r="A960" s="46"/>
    </row>
    <row r="961">
      <c r="A961" s="46"/>
    </row>
    <row r="962">
      <c r="A962" s="46"/>
    </row>
    <row r="963">
      <c r="A963" s="46"/>
    </row>
    <row r="964">
      <c r="A964" s="46"/>
    </row>
    <row r="965">
      <c r="A965" s="46"/>
    </row>
    <row r="966">
      <c r="A966" s="46"/>
    </row>
    <row r="967">
      <c r="A967" s="46"/>
    </row>
    <row r="968">
      <c r="A968" s="46"/>
    </row>
    <row r="969">
      <c r="A969" s="46"/>
    </row>
    <row r="970">
      <c r="A970" s="46"/>
    </row>
    <row r="971">
      <c r="A971" s="46"/>
    </row>
    <row r="972">
      <c r="A972" s="46"/>
    </row>
    <row r="973">
      <c r="A973" s="46"/>
    </row>
    <row r="974">
      <c r="A974" s="46"/>
    </row>
    <row r="975">
      <c r="A975" s="46"/>
    </row>
    <row r="976">
      <c r="A976" s="46"/>
    </row>
    <row r="977">
      <c r="A977" s="46"/>
    </row>
    <row r="978">
      <c r="A978" s="46"/>
    </row>
    <row r="979">
      <c r="A979" s="46"/>
    </row>
    <row r="980">
      <c r="A980" s="46"/>
    </row>
    <row r="981">
      <c r="A981" s="46"/>
    </row>
    <row r="982">
      <c r="A982" s="46"/>
    </row>
    <row r="983">
      <c r="A983" s="46"/>
    </row>
    <row r="984">
      <c r="A984" s="46"/>
    </row>
    <row r="985">
      <c r="A985" s="46"/>
    </row>
    <row r="986">
      <c r="A986" s="46"/>
    </row>
    <row r="987">
      <c r="A987" s="46"/>
    </row>
    <row r="988">
      <c r="A988" s="46"/>
    </row>
    <row r="989">
      <c r="A989" s="46"/>
    </row>
    <row r="990">
      <c r="A990" s="46"/>
    </row>
    <row r="991">
      <c r="A991" s="46"/>
    </row>
    <row r="992">
      <c r="A992" s="46"/>
    </row>
    <row r="993">
      <c r="A993" s="46"/>
    </row>
    <row r="994">
      <c r="A994" s="46"/>
    </row>
    <row r="995">
      <c r="A995" s="46"/>
    </row>
    <row r="996">
      <c r="A996" s="46"/>
    </row>
    <row r="997">
      <c r="A997" s="46"/>
    </row>
    <row r="998">
      <c r="A998" s="46"/>
    </row>
    <row r="999">
      <c r="A999" s="46"/>
    </row>
    <row r="1000">
      <c r="A1000" s="4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